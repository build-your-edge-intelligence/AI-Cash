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Business Partnering\APP DSO\"/>
    </mc:Choice>
  </mc:AlternateContent>
  <xr:revisionPtr revIDLastSave="0" documentId="13_ncr:1_{9469D62C-647F-4EA2-A99D-91C20D344E33}" xr6:coauthVersionLast="47" xr6:coauthVersionMax="47" xr10:uidLastSave="{00000000-0000-0000-0000-000000000000}"/>
  <bookViews>
    <workbookView xWindow="12090" yWindow="0" windowWidth="14430" windowHeight="15480" xr2:uid="{00000000-000D-0000-FFFF-FFFF00000000}"/>
  </bookViews>
  <sheets>
    <sheet name="0_Accueil" sheetId="1" r:id="rId1"/>
    <sheet name="1_Balance_GL" sheetId="2" r:id="rId2"/>
    <sheet name="2_Clients" sheetId="3" r:id="rId3"/>
    <sheet name="3_Fournisseurs" sheetId="4" r:id="rId4"/>
    <sheet name="4_Stocks" sheetId="5" r:id="rId5"/>
    <sheet name="5_Dashboard" sheetId="6" r:id="rId6"/>
    <sheet name="Lecture" sheetId="7" r:id="rId7"/>
    <sheet name="Cash Managemen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1" i="8" l="1"/>
  <c r="D71" i="8" s="1"/>
  <c r="B70" i="8"/>
  <c r="D70" i="8" s="1"/>
  <c r="C57" i="8"/>
  <c r="C56" i="8"/>
  <c r="E55" i="8"/>
  <c r="C55" i="8"/>
  <c r="D21" i="8"/>
  <c r="C21" i="8"/>
  <c r="B22" i="8" s="1"/>
  <c r="B21" i="8"/>
  <c r="E21" i="8" s="1"/>
  <c r="K3" i="8"/>
  <c r="G3" i="8"/>
  <c r="A3" i="8"/>
  <c r="H15" i="6"/>
  <c r="E15" i="6"/>
  <c r="B15" i="6"/>
  <c r="D7" i="6"/>
  <c r="G2" i="6"/>
  <c r="B2" i="6"/>
  <c r="E11" i="5"/>
  <c r="E56" i="8" s="1"/>
  <c r="C11" i="5"/>
  <c r="B11" i="5"/>
  <c r="D10" i="5"/>
  <c r="G10" i="5" s="1"/>
  <c r="D9" i="5"/>
  <c r="G9" i="5" s="1"/>
  <c r="G8" i="5"/>
  <c r="F8" i="5"/>
  <c r="D8" i="5"/>
  <c r="D7" i="5"/>
  <c r="D11" i="5" s="1"/>
  <c r="G6" i="5"/>
  <c r="F6" i="5"/>
  <c r="D6" i="5"/>
  <c r="D5" i="5"/>
  <c r="G5" i="5" s="1"/>
  <c r="F72" i="4"/>
  <c r="K71" i="4"/>
  <c r="J71" i="4"/>
  <c r="H71" i="4"/>
  <c r="E71" i="4"/>
  <c r="K70" i="4"/>
  <c r="J70" i="4"/>
  <c r="H70" i="4"/>
  <c r="E70" i="4"/>
  <c r="K69" i="4"/>
  <c r="J69" i="4"/>
  <c r="H69" i="4"/>
  <c r="E69" i="4"/>
  <c r="K68" i="4"/>
  <c r="J68" i="4"/>
  <c r="H68" i="4"/>
  <c r="E68" i="4"/>
  <c r="K67" i="4"/>
  <c r="J67" i="4"/>
  <c r="H67" i="4"/>
  <c r="E67" i="4"/>
  <c r="K66" i="4"/>
  <c r="J66" i="4"/>
  <c r="H66" i="4"/>
  <c r="E66" i="4"/>
  <c r="K65" i="4"/>
  <c r="J65" i="4"/>
  <c r="H65" i="4"/>
  <c r="E65" i="4"/>
  <c r="K64" i="4"/>
  <c r="J64" i="4"/>
  <c r="H64" i="4"/>
  <c r="E64" i="4"/>
  <c r="K63" i="4"/>
  <c r="J63" i="4"/>
  <c r="H63" i="4"/>
  <c r="E63" i="4"/>
  <c r="K62" i="4"/>
  <c r="J62" i="4"/>
  <c r="H62" i="4"/>
  <c r="E62" i="4"/>
  <c r="K61" i="4"/>
  <c r="J61" i="4"/>
  <c r="H61" i="4"/>
  <c r="E61" i="4"/>
  <c r="K60" i="4"/>
  <c r="J60" i="4"/>
  <c r="H60" i="4"/>
  <c r="E60" i="4"/>
  <c r="K59" i="4"/>
  <c r="J59" i="4"/>
  <c r="H59" i="4"/>
  <c r="E59" i="4"/>
  <c r="K58" i="4"/>
  <c r="J58" i="4"/>
  <c r="H58" i="4"/>
  <c r="E58" i="4"/>
  <c r="K57" i="4"/>
  <c r="J57" i="4"/>
  <c r="H57" i="4"/>
  <c r="E57" i="4"/>
  <c r="K56" i="4"/>
  <c r="J56" i="4"/>
  <c r="H56" i="4"/>
  <c r="E56" i="4"/>
  <c r="K55" i="4"/>
  <c r="J55" i="4"/>
  <c r="H55" i="4"/>
  <c r="E55" i="4"/>
  <c r="K54" i="4"/>
  <c r="J54" i="4"/>
  <c r="H54" i="4"/>
  <c r="E54" i="4"/>
  <c r="K53" i="4"/>
  <c r="J53" i="4"/>
  <c r="H53" i="4"/>
  <c r="E53" i="4"/>
  <c r="K52" i="4"/>
  <c r="J52" i="4"/>
  <c r="H52" i="4"/>
  <c r="E52" i="4"/>
  <c r="K51" i="4"/>
  <c r="J51" i="4"/>
  <c r="H51" i="4"/>
  <c r="E51" i="4"/>
  <c r="K50" i="4"/>
  <c r="J50" i="4"/>
  <c r="H50" i="4"/>
  <c r="E50" i="4"/>
  <c r="K49" i="4"/>
  <c r="J49" i="4"/>
  <c r="H49" i="4"/>
  <c r="E49" i="4"/>
  <c r="K48" i="4"/>
  <c r="J48" i="4"/>
  <c r="H48" i="4"/>
  <c r="E48" i="4"/>
  <c r="K47" i="4"/>
  <c r="J47" i="4"/>
  <c r="H47" i="4"/>
  <c r="E47" i="4"/>
  <c r="K46" i="4"/>
  <c r="J46" i="4"/>
  <c r="H46" i="4"/>
  <c r="E46" i="4"/>
  <c r="K45" i="4"/>
  <c r="J45" i="4"/>
  <c r="H45" i="4"/>
  <c r="E45" i="4"/>
  <c r="K44" i="4"/>
  <c r="J44" i="4"/>
  <c r="H44" i="4"/>
  <c r="E44" i="4"/>
  <c r="K43" i="4"/>
  <c r="J43" i="4"/>
  <c r="H43" i="4"/>
  <c r="E43" i="4"/>
  <c r="K42" i="4"/>
  <c r="J42" i="4"/>
  <c r="H42" i="4"/>
  <c r="E42" i="4"/>
  <c r="K41" i="4"/>
  <c r="J41" i="4"/>
  <c r="H41" i="4"/>
  <c r="E41" i="4"/>
  <c r="K40" i="4"/>
  <c r="J40" i="4"/>
  <c r="H40" i="4"/>
  <c r="E40" i="4"/>
  <c r="K39" i="4"/>
  <c r="J39" i="4"/>
  <c r="H39" i="4"/>
  <c r="E39" i="4"/>
  <c r="K38" i="4"/>
  <c r="J38" i="4"/>
  <c r="H38" i="4"/>
  <c r="E38" i="4"/>
  <c r="K37" i="4"/>
  <c r="J37" i="4"/>
  <c r="H37" i="4"/>
  <c r="E37" i="4"/>
  <c r="K36" i="4"/>
  <c r="J36" i="4"/>
  <c r="H36" i="4"/>
  <c r="E36" i="4"/>
  <c r="K35" i="4"/>
  <c r="J35" i="4"/>
  <c r="H35" i="4"/>
  <c r="E35" i="4"/>
  <c r="K34" i="4"/>
  <c r="J34" i="4"/>
  <c r="H34" i="4"/>
  <c r="E34" i="4"/>
  <c r="K33" i="4"/>
  <c r="J33" i="4"/>
  <c r="H33" i="4"/>
  <c r="E33" i="4"/>
  <c r="K32" i="4"/>
  <c r="J32" i="4"/>
  <c r="H32" i="4"/>
  <c r="E32" i="4"/>
  <c r="K31" i="4"/>
  <c r="J31" i="4"/>
  <c r="H31" i="4"/>
  <c r="E31" i="4"/>
  <c r="K30" i="4"/>
  <c r="J30" i="4"/>
  <c r="H30" i="4"/>
  <c r="E30" i="4"/>
  <c r="K29" i="4"/>
  <c r="J29" i="4"/>
  <c r="H29" i="4"/>
  <c r="E29" i="4"/>
  <c r="K28" i="4"/>
  <c r="J28" i="4"/>
  <c r="H28" i="4"/>
  <c r="E28" i="4"/>
  <c r="K27" i="4"/>
  <c r="J27" i="4"/>
  <c r="H27" i="4"/>
  <c r="E27" i="4"/>
  <c r="K26" i="4"/>
  <c r="J26" i="4"/>
  <c r="H26" i="4"/>
  <c r="E26" i="4"/>
  <c r="K25" i="4"/>
  <c r="J25" i="4"/>
  <c r="H25" i="4"/>
  <c r="E25" i="4"/>
  <c r="K24" i="4"/>
  <c r="J24" i="4"/>
  <c r="H24" i="4"/>
  <c r="E24" i="4"/>
  <c r="K23" i="4"/>
  <c r="J23" i="4"/>
  <c r="H23" i="4"/>
  <c r="E23" i="4"/>
  <c r="K22" i="4"/>
  <c r="J22" i="4"/>
  <c r="H22" i="4"/>
  <c r="E22" i="4"/>
  <c r="K21" i="4"/>
  <c r="J21" i="4"/>
  <c r="H21" i="4"/>
  <c r="E21" i="4"/>
  <c r="K20" i="4"/>
  <c r="J20" i="4"/>
  <c r="H20" i="4"/>
  <c r="E20" i="4"/>
  <c r="K19" i="4"/>
  <c r="J19" i="4"/>
  <c r="H19" i="4"/>
  <c r="E19" i="4"/>
  <c r="K18" i="4"/>
  <c r="J18" i="4"/>
  <c r="H18" i="4"/>
  <c r="E18" i="4"/>
  <c r="K17" i="4"/>
  <c r="J17" i="4"/>
  <c r="H17" i="4"/>
  <c r="E17" i="4"/>
  <c r="K16" i="4"/>
  <c r="J16" i="4"/>
  <c r="H16" i="4"/>
  <c r="E16" i="4"/>
  <c r="K15" i="4"/>
  <c r="J15" i="4"/>
  <c r="H15" i="4"/>
  <c r="E15" i="4"/>
  <c r="K14" i="4"/>
  <c r="J14" i="4"/>
  <c r="H14" i="4"/>
  <c r="E14" i="4"/>
  <c r="K13" i="4"/>
  <c r="J13" i="4"/>
  <c r="H13" i="4"/>
  <c r="E13" i="4"/>
  <c r="K12" i="4"/>
  <c r="J12" i="4"/>
  <c r="M5" i="4" s="1"/>
  <c r="B74" i="8" s="1"/>
  <c r="D74" i="8" s="1"/>
  <c r="H12" i="4"/>
  <c r="H72" i="4" s="1"/>
  <c r="E12" i="4"/>
  <c r="G7" i="8" s="1"/>
  <c r="G3" i="4"/>
  <c r="B3" i="4"/>
  <c r="M2" i="4"/>
  <c r="D17" i="8" s="1"/>
  <c r="E112" i="3"/>
  <c r="K111" i="3"/>
  <c r="J111" i="3"/>
  <c r="I111" i="3"/>
  <c r="G111" i="3"/>
  <c r="K110" i="3"/>
  <c r="J110" i="3"/>
  <c r="I110" i="3"/>
  <c r="G110" i="3"/>
  <c r="K109" i="3"/>
  <c r="J109" i="3"/>
  <c r="I109" i="3"/>
  <c r="G109" i="3"/>
  <c r="K108" i="3"/>
  <c r="J108" i="3"/>
  <c r="I108" i="3"/>
  <c r="G108" i="3"/>
  <c r="K107" i="3"/>
  <c r="J107" i="3"/>
  <c r="I107" i="3"/>
  <c r="G107" i="3"/>
  <c r="K106" i="3"/>
  <c r="J106" i="3"/>
  <c r="I106" i="3"/>
  <c r="G106" i="3"/>
  <c r="K105" i="3"/>
  <c r="J105" i="3"/>
  <c r="I105" i="3"/>
  <c r="G105" i="3"/>
  <c r="K104" i="3"/>
  <c r="J104" i="3"/>
  <c r="I104" i="3"/>
  <c r="G104" i="3"/>
  <c r="K103" i="3"/>
  <c r="J103" i="3"/>
  <c r="I103" i="3"/>
  <c r="G103" i="3"/>
  <c r="K102" i="3"/>
  <c r="J102" i="3"/>
  <c r="I102" i="3"/>
  <c r="G102" i="3"/>
  <c r="K101" i="3"/>
  <c r="J101" i="3"/>
  <c r="I101" i="3"/>
  <c r="G101" i="3"/>
  <c r="K100" i="3"/>
  <c r="J100" i="3"/>
  <c r="I100" i="3"/>
  <c r="G100" i="3"/>
  <c r="K99" i="3"/>
  <c r="J99" i="3"/>
  <c r="I99" i="3"/>
  <c r="G99" i="3"/>
  <c r="K98" i="3"/>
  <c r="J98" i="3"/>
  <c r="I98" i="3"/>
  <c r="G98" i="3"/>
  <c r="K97" i="3"/>
  <c r="J97" i="3"/>
  <c r="I97" i="3"/>
  <c r="G97" i="3"/>
  <c r="K96" i="3"/>
  <c r="J96" i="3"/>
  <c r="I96" i="3"/>
  <c r="G96" i="3"/>
  <c r="K95" i="3"/>
  <c r="J95" i="3"/>
  <c r="I95" i="3"/>
  <c r="G95" i="3"/>
  <c r="K94" i="3"/>
  <c r="J94" i="3"/>
  <c r="I94" i="3"/>
  <c r="G94" i="3"/>
  <c r="K93" i="3"/>
  <c r="J93" i="3"/>
  <c r="I93" i="3"/>
  <c r="G93" i="3"/>
  <c r="K92" i="3"/>
  <c r="J92" i="3"/>
  <c r="I92" i="3"/>
  <c r="G92" i="3"/>
  <c r="K91" i="3"/>
  <c r="J91" i="3"/>
  <c r="I91" i="3"/>
  <c r="G91" i="3"/>
  <c r="K90" i="3"/>
  <c r="J90" i="3"/>
  <c r="I90" i="3"/>
  <c r="G90" i="3"/>
  <c r="K89" i="3"/>
  <c r="J89" i="3"/>
  <c r="I89" i="3"/>
  <c r="G89" i="3"/>
  <c r="K88" i="3"/>
  <c r="J88" i="3"/>
  <c r="I88" i="3"/>
  <c r="G88" i="3"/>
  <c r="K87" i="3"/>
  <c r="J87" i="3"/>
  <c r="I87" i="3"/>
  <c r="G87" i="3"/>
  <c r="K86" i="3"/>
  <c r="J86" i="3"/>
  <c r="I86" i="3"/>
  <c r="G86" i="3"/>
  <c r="K85" i="3"/>
  <c r="J85" i="3"/>
  <c r="I85" i="3"/>
  <c r="G85" i="3"/>
  <c r="K84" i="3"/>
  <c r="J84" i="3"/>
  <c r="I84" i="3"/>
  <c r="G84" i="3"/>
  <c r="K83" i="3"/>
  <c r="J83" i="3"/>
  <c r="I83" i="3"/>
  <c r="G83" i="3"/>
  <c r="K82" i="3"/>
  <c r="J82" i="3"/>
  <c r="I82" i="3"/>
  <c r="G82" i="3"/>
  <c r="K81" i="3"/>
  <c r="J81" i="3"/>
  <c r="I81" i="3"/>
  <c r="G81" i="3"/>
  <c r="K80" i="3"/>
  <c r="J80" i="3"/>
  <c r="I80" i="3"/>
  <c r="G80" i="3"/>
  <c r="K79" i="3"/>
  <c r="J79" i="3"/>
  <c r="I79" i="3"/>
  <c r="G79" i="3"/>
  <c r="K78" i="3"/>
  <c r="J78" i="3"/>
  <c r="I78" i="3"/>
  <c r="G78" i="3"/>
  <c r="K77" i="3"/>
  <c r="J77" i="3"/>
  <c r="I77" i="3"/>
  <c r="G77" i="3"/>
  <c r="K76" i="3"/>
  <c r="J76" i="3"/>
  <c r="I76" i="3"/>
  <c r="G76" i="3"/>
  <c r="K75" i="3"/>
  <c r="J75" i="3"/>
  <c r="I75" i="3"/>
  <c r="G75" i="3"/>
  <c r="K74" i="3"/>
  <c r="J74" i="3"/>
  <c r="I74" i="3"/>
  <c r="G74" i="3"/>
  <c r="K73" i="3"/>
  <c r="J73" i="3"/>
  <c r="I73" i="3"/>
  <c r="G73" i="3"/>
  <c r="K72" i="3"/>
  <c r="J72" i="3"/>
  <c r="I72" i="3"/>
  <c r="G72" i="3"/>
  <c r="K71" i="3"/>
  <c r="J71" i="3"/>
  <c r="I71" i="3"/>
  <c r="G71" i="3"/>
  <c r="K70" i="3"/>
  <c r="J70" i="3"/>
  <c r="I70" i="3"/>
  <c r="G70" i="3"/>
  <c r="K69" i="3"/>
  <c r="J69" i="3"/>
  <c r="I69" i="3"/>
  <c r="G69" i="3"/>
  <c r="K68" i="3"/>
  <c r="J68" i="3"/>
  <c r="I68" i="3"/>
  <c r="G68" i="3"/>
  <c r="K67" i="3"/>
  <c r="J67" i="3"/>
  <c r="I67" i="3"/>
  <c r="G67" i="3"/>
  <c r="K66" i="3"/>
  <c r="J66" i="3"/>
  <c r="I66" i="3"/>
  <c r="G66" i="3"/>
  <c r="K65" i="3"/>
  <c r="J65" i="3"/>
  <c r="I65" i="3"/>
  <c r="G65" i="3"/>
  <c r="K64" i="3"/>
  <c r="J64" i="3"/>
  <c r="I64" i="3"/>
  <c r="G64" i="3"/>
  <c r="K63" i="3"/>
  <c r="J63" i="3"/>
  <c r="I63" i="3"/>
  <c r="G63" i="3"/>
  <c r="K62" i="3"/>
  <c r="J62" i="3"/>
  <c r="I62" i="3"/>
  <c r="G62" i="3"/>
  <c r="K61" i="3"/>
  <c r="J61" i="3"/>
  <c r="I61" i="3"/>
  <c r="G61" i="3"/>
  <c r="K60" i="3"/>
  <c r="J60" i="3"/>
  <c r="I60" i="3"/>
  <c r="G60" i="3"/>
  <c r="K59" i="3"/>
  <c r="J59" i="3"/>
  <c r="I59" i="3"/>
  <c r="G59" i="3"/>
  <c r="K58" i="3"/>
  <c r="J58" i="3"/>
  <c r="I58" i="3"/>
  <c r="G58" i="3"/>
  <c r="K57" i="3"/>
  <c r="J57" i="3"/>
  <c r="I57" i="3"/>
  <c r="G57" i="3"/>
  <c r="K56" i="3"/>
  <c r="J56" i="3"/>
  <c r="I56" i="3"/>
  <c r="G56" i="3"/>
  <c r="K55" i="3"/>
  <c r="J55" i="3"/>
  <c r="I55" i="3"/>
  <c r="G55" i="3"/>
  <c r="K54" i="3"/>
  <c r="J54" i="3"/>
  <c r="I54" i="3"/>
  <c r="G54" i="3"/>
  <c r="K53" i="3"/>
  <c r="J53" i="3"/>
  <c r="I53" i="3"/>
  <c r="G53" i="3"/>
  <c r="K52" i="3"/>
  <c r="J52" i="3"/>
  <c r="I52" i="3"/>
  <c r="G52" i="3"/>
  <c r="K51" i="3"/>
  <c r="J51" i="3"/>
  <c r="I51" i="3"/>
  <c r="G51" i="3"/>
  <c r="K50" i="3"/>
  <c r="J50" i="3"/>
  <c r="I50" i="3"/>
  <c r="G50" i="3"/>
  <c r="K49" i="3"/>
  <c r="J49" i="3"/>
  <c r="I49" i="3"/>
  <c r="G49" i="3"/>
  <c r="K48" i="3"/>
  <c r="J48" i="3"/>
  <c r="I48" i="3"/>
  <c r="G48" i="3"/>
  <c r="K47" i="3"/>
  <c r="J47" i="3"/>
  <c r="I47" i="3"/>
  <c r="G47" i="3"/>
  <c r="K46" i="3"/>
  <c r="J46" i="3"/>
  <c r="I46" i="3"/>
  <c r="G46" i="3"/>
  <c r="K45" i="3"/>
  <c r="J45" i="3"/>
  <c r="I45" i="3"/>
  <c r="G45" i="3"/>
  <c r="K44" i="3"/>
  <c r="J44" i="3"/>
  <c r="I44" i="3"/>
  <c r="G44" i="3"/>
  <c r="K43" i="3"/>
  <c r="J43" i="3"/>
  <c r="I43" i="3"/>
  <c r="G43" i="3"/>
  <c r="K42" i="3"/>
  <c r="J42" i="3"/>
  <c r="I42" i="3"/>
  <c r="G42" i="3"/>
  <c r="K41" i="3"/>
  <c r="J41" i="3"/>
  <c r="I41" i="3"/>
  <c r="G41" i="3"/>
  <c r="K40" i="3"/>
  <c r="J40" i="3"/>
  <c r="I40" i="3"/>
  <c r="G40" i="3"/>
  <c r="K39" i="3"/>
  <c r="J39" i="3"/>
  <c r="I39" i="3"/>
  <c r="G39" i="3"/>
  <c r="K38" i="3"/>
  <c r="J38" i="3"/>
  <c r="I38" i="3"/>
  <c r="G38" i="3"/>
  <c r="K37" i="3"/>
  <c r="J37" i="3"/>
  <c r="I37" i="3"/>
  <c r="G37" i="3"/>
  <c r="K36" i="3"/>
  <c r="J36" i="3"/>
  <c r="I36" i="3"/>
  <c r="G36" i="3"/>
  <c r="K35" i="3"/>
  <c r="J35" i="3"/>
  <c r="I35" i="3"/>
  <c r="G35" i="3"/>
  <c r="K34" i="3"/>
  <c r="J34" i="3"/>
  <c r="I34" i="3"/>
  <c r="G34" i="3"/>
  <c r="K33" i="3"/>
  <c r="J33" i="3"/>
  <c r="I33" i="3"/>
  <c r="G33" i="3"/>
  <c r="K32" i="3"/>
  <c r="J32" i="3"/>
  <c r="I32" i="3"/>
  <c r="G32" i="3"/>
  <c r="K31" i="3"/>
  <c r="J31" i="3"/>
  <c r="I31" i="3"/>
  <c r="G31" i="3"/>
  <c r="K30" i="3"/>
  <c r="J30" i="3"/>
  <c r="I30" i="3"/>
  <c r="G30" i="3"/>
  <c r="K29" i="3"/>
  <c r="J29" i="3"/>
  <c r="I29" i="3"/>
  <c r="G29" i="3"/>
  <c r="K28" i="3"/>
  <c r="J28" i="3"/>
  <c r="I28" i="3"/>
  <c r="G28" i="3"/>
  <c r="K27" i="3"/>
  <c r="J27" i="3"/>
  <c r="I27" i="3"/>
  <c r="G27" i="3"/>
  <c r="K26" i="3"/>
  <c r="J26" i="3"/>
  <c r="I26" i="3"/>
  <c r="G26" i="3"/>
  <c r="K25" i="3"/>
  <c r="J25" i="3"/>
  <c r="I25" i="3"/>
  <c r="G25" i="3"/>
  <c r="K24" i="3"/>
  <c r="J24" i="3"/>
  <c r="I24" i="3"/>
  <c r="G24" i="3"/>
  <c r="K23" i="3"/>
  <c r="J23" i="3"/>
  <c r="I23" i="3"/>
  <c r="G23" i="3"/>
  <c r="K22" i="3"/>
  <c r="J22" i="3"/>
  <c r="I22" i="3"/>
  <c r="G22" i="3"/>
  <c r="K21" i="3"/>
  <c r="J21" i="3"/>
  <c r="I21" i="3"/>
  <c r="G21" i="3"/>
  <c r="K20" i="3"/>
  <c r="J20" i="3"/>
  <c r="I20" i="3"/>
  <c r="G20" i="3"/>
  <c r="K19" i="3"/>
  <c r="J19" i="3"/>
  <c r="I19" i="3"/>
  <c r="G19" i="3"/>
  <c r="K18" i="3"/>
  <c r="J18" i="3"/>
  <c r="I18" i="3"/>
  <c r="G18" i="3"/>
  <c r="K17" i="3"/>
  <c r="J17" i="3"/>
  <c r="I17" i="3"/>
  <c r="G17" i="3"/>
  <c r="K16" i="3"/>
  <c r="J16" i="3"/>
  <c r="I16" i="3"/>
  <c r="G16" i="3"/>
  <c r="K15" i="3"/>
  <c r="J15" i="3"/>
  <c r="I15" i="3"/>
  <c r="G15" i="3"/>
  <c r="K14" i="3"/>
  <c r="J14" i="3"/>
  <c r="I14" i="3"/>
  <c r="G14" i="3"/>
  <c r="K13" i="3"/>
  <c r="J13" i="3"/>
  <c r="I13" i="3"/>
  <c r="G13" i="3"/>
  <c r="M3" i="3" s="1"/>
  <c r="K12" i="3"/>
  <c r="D42" i="8" s="1"/>
  <c r="J12" i="3"/>
  <c r="I12" i="3"/>
  <c r="I112" i="3" s="1"/>
  <c r="G12" i="3"/>
  <c r="G112" i="3" s="1"/>
  <c r="M5" i="3"/>
  <c r="I7" i="3" s="1"/>
  <c r="F3" i="3"/>
  <c r="D3" i="3"/>
  <c r="B3" i="3"/>
  <c r="M2" i="3"/>
  <c r="A17" i="8" s="1"/>
  <c r="M1" i="3"/>
  <c r="A7" i="3" s="1"/>
  <c r="C215" i="2"/>
  <c r="C214" i="2"/>
  <c r="M1" i="4" s="1"/>
  <c r="A7" i="4" s="1"/>
  <c r="C213" i="2"/>
  <c r="C212" i="2"/>
  <c r="C211" i="2"/>
  <c r="D208" i="2"/>
  <c r="C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208" i="2" s="1"/>
  <c r="E22" i="8" l="1"/>
  <c r="C22" i="8"/>
  <c r="B23" i="8" s="1"/>
  <c r="E7" i="3"/>
  <c r="G12" i="8"/>
  <c r="B21" i="6"/>
  <c r="F21" i="8"/>
  <c r="G21" i="8" s="1"/>
  <c r="F11" i="5"/>
  <c r="H4" i="5"/>
  <c r="H3" i="5"/>
  <c r="H5" i="5"/>
  <c r="C14" i="5"/>
  <c r="F7" i="5"/>
  <c r="G11" i="5"/>
  <c r="C35" i="6"/>
  <c r="B72" i="8" s="1"/>
  <c r="D72" i="8" s="1"/>
  <c r="B46" i="8"/>
  <c r="F5" i="5"/>
  <c r="G7" i="5"/>
  <c r="F10" i="5"/>
  <c r="B38" i="8"/>
  <c r="C38" i="8" s="1"/>
  <c r="D40" i="8"/>
  <c r="B47" i="8"/>
  <c r="M4" i="3"/>
  <c r="G7" i="3" s="1"/>
  <c r="M7" i="3"/>
  <c r="D3" i="4"/>
  <c r="D12" i="8"/>
  <c r="B41" i="8"/>
  <c r="C41" i="8" s="1"/>
  <c r="B48" i="8"/>
  <c r="E57" i="8"/>
  <c r="M8" i="3"/>
  <c r="B17" i="6"/>
  <c r="D38" i="8"/>
  <c r="M6" i="3"/>
  <c r="M3" i="4"/>
  <c r="A7" i="8"/>
  <c r="B39" i="8"/>
  <c r="C39" i="8" s="1"/>
  <c r="D41" i="8"/>
  <c r="D7" i="4"/>
  <c r="M4" i="4"/>
  <c r="J72" i="4"/>
  <c r="B14" i="6"/>
  <c r="B55" i="8" s="1"/>
  <c r="D55" i="8" s="1"/>
  <c r="F55" i="8" s="1"/>
  <c r="B42" i="8"/>
  <c r="C42" i="8" s="1"/>
  <c r="C7" i="3"/>
  <c r="F9" i="5"/>
  <c r="E14" i="6"/>
  <c r="B57" i="8" s="1"/>
  <c r="D57" i="8" s="1"/>
  <c r="F57" i="8" s="1"/>
  <c r="D39" i="8"/>
  <c r="B40" i="8"/>
  <c r="C40" i="8" s="1"/>
  <c r="K69" i="8" l="1"/>
  <c r="B50" i="8"/>
  <c r="M17" i="8"/>
  <c r="I7" i="4"/>
  <c r="J7" i="8"/>
  <c r="J17" i="8"/>
  <c r="B49" i="8"/>
  <c r="G7" i="4"/>
  <c r="E23" i="8"/>
  <c r="D23" i="8"/>
  <c r="C23" i="8"/>
  <c r="B24" i="8" s="1"/>
  <c r="M12" i="8"/>
  <c r="B73" i="8"/>
  <c r="D73" i="8" s="1"/>
  <c r="J12" i="8"/>
  <c r="B23" i="6"/>
  <c r="H14" i="6"/>
  <c r="B56" i="8" s="1"/>
  <c r="D56" i="8" s="1"/>
  <c r="F56" i="8" s="1"/>
  <c r="F58" i="8" s="1"/>
  <c r="A12" i="8" s="1"/>
  <c r="F21" i="6"/>
  <c r="M7" i="8" s="1"/>
  <c r="H17" i="6"/>
  <c r="G17" i="8"/>
  <c r="D22" i="8"/>
  <c r="F22" i="8" s="1"/>
  <c r="G22" i="8" s="1"/>
  <c r="D24" i="8" l="1"/>
  <c r="C24" i="8"/>
  <c r="B25" i="8" s="1"/>
  <c r="E24" i="8"/>
  <c r="F23" i="8"/>
  <c r="G23" i="8" s="1"/>
  <c r="G24" i="8" l="1"/>
  <c r="D25" i="8"/>
  <c r="C25" i="8"/>
  <c r="B26" i="8" s="1"/>
  <c r="F24" i="8"/>
  <c r="E26" i="8" l="1"/>
  <c r="D26" i="8"/>
  <c r="F26" i="8" s="1"/>
  <c r="C26" i="8"/>
  <c r="B27" i="8" s="1"/>
  <c r="E25" i="8"/>
  <c r="F25" i="8" s="1"/>
  <c r="G25" i="8" s="1"/>
  <c r="G26" i="8" l="1"/>
  <c r="E27" i="8"/>
  <c r="D27" i="8"/>
  <c r="F27" i="8" s="1"/>
  <c r="C27" i="8"/>
  <c r="B28" i="8" s="1"/>
  <c r="C28" i="8" l="1"/>
  <c r="B29" i="8" s="1"/>
  <c r="G27" i="8"/>
  <c r="E29" i="8" l="1"/>
  <c r="C29" i="8"/>
  <c r="B30" i="8" s="1"/>
  <c r="D28" i="8"/>
  <c r="F28" i="8" s="1"/>
  <c r="G28" i="8" s="1"/>
  <c r="E28" i="8"/>
  <c r="E30" i="8" l="1"/>
  <c r="D30" i="8"/>
  <c r="C30" i="8"/>
  <c r="B31" i="8" s="1"/>
  <c r="D29" i="8"/>
  <c r="F29" i="8" s="1"/>
  <c r="G29" i="8" s="1"/>
  <c r="F30" i="8" l="1"/>
  <c r="G30" i="8" s="1"/>
  <c r="G31" i="8" s="1"/>
  <c r="E31" i="8"/>
  <c r="D31" i="8"/>
  <c r="F31" i="8" s="1"/>
  <c r="C31" i="8"/>
  <c r="B32" i="8" s="1"/>
  <c r="D32" i="8" l="1"/>
  <c r="F32" i="8" s="1"/>
  <c r="G32" i="8" s="1"/>
  <c r="C32" i="8"/>
  <c r="B33" i="8" s="1"/>
  <c r="E32" i="8"/>
  <c r="D33" i="8" l="1"/>
  <c r="C33" i="8"/>
  <c r="E33" i="8" s="1"/>
  <c r="F33" i="8" l="1"/>
  <c r="G33" i="8" s="1"/>
  <c r="D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tc={1B97548D-7F8A-4876-96DE-5AC0448E501D}</author>
    <author>tc={D5A1506D-7C32-4077-A679-8329E2BD523E}</author>
    <author>tc={578B1F22-B0CC-4F00-AE32-AC11A9A647CB}</author>
  </authors>
  <commentList>
    <comment ref="A7" authorId="0" shapeId="0" xr:uid="{00000000-0006-0000-0700-000001000000}">
      <text>
        <r>
          <rPr>
            <sz val="11"/>
            <color theme="1"/>
            <rFont val="Calibri"/>
          </rPr>
          <t>[Threaded comment]
Your version of Excel allows you to read this threaded comment; however, any edits to it will get removed if the file is opened in a newer version of Excel. Learn more: https://go.microsoft.com/fwlink/?linkid=870924
Comment:
    Source : échéances et soldes des feuilles 2_Clients et 3_Fournisseurs. Périmètre opérationnel uniquement, hors banque, paie, fiscalité, dette et CAPEX.</t>
        </r>
      </text>
    </comment>
    <comment ref="D7" authorId="1" shapeId="0" xr:uid="{00000000-0006-0000-0700-000003000000}">
      <text>
        <r>
          <rPr>
            <sz val="11"/>
            <color theme="1"/>
            <rFont val="Calibri"/>
          </rPr>
          <t>[Threaded comment]
Your version of Excel allows you to read this threaded comment; however, any edits to it will get removed if the file is opened in a newer version of Excel. Learn more: https://go.microsoft.com/fwlink/?linkid=870924
Comment:
    Le besoin maximum correspond au point le plus négatif du cumul hebdomadaire des flux clients et fournisseurs sur 13 semaines.</t>
        </r>
      </text>
    </comment>
    <comment ref="A12" authorId="2" shapeId="0" xr:uid="{00000000-0006-0000-0700-000002000000}">
      <text>
        <r>
          <rPr>
            <sz val="11"/>
            <color theme="1"/>
            <rFont val="Calibri"/>
          </rPr>
          <t>[Threaded comment]
Your version of Excel allows you to read this threaded comment; however, any edits to it will get removed if the file is opened in a newer version of Excel. Learn more: https://go.microsoft.com/fwlink/?linkid=870924
Comment:
    Hypothèse : cash libérable en ramenant DSO et DIO aux cibles sectorielles et en rapprochant le DPO de la cible. Les cibles proviennent de 5_Dashboard!B40:E44.</t>
        </r>
      </text>
    </comment>
  </commentList>
</comments>
</file>

<file path=xl/sharedStrings.xml><?xml version="1.0" encoding="utf-8"?>
<sst xmlns="http://schemas.openxmlformats.org/spreadsheetml/2006/main" count="341" uniqueCount="301">
  <si>
    <t>DASHBOARD BFR</t>
  </si>
  <si>
    <t>Besoin en Fonds de Roulement — votre pilote de trésorerie</t>
  </si>
  <si>
    <t xml:space="preserve">  ① VOS PARAMÈTRES  (remplissez les cases colorées)</t>
  </si>
  <si>
    <t xml:space="preserve">  Société</t>
  </si>
  <si>
    <t>← Le nom de votre entreprise</t>
  </si>
  <si>
    <t xml:space="preserve">  Secteur</t>
  </si>
  <si>
    <t>← Distribution / Industrie / BTP / Services / Agroalimentaire</t>
  </si>
  <si>
    <t xml:space="preserve">  Date du jour</t>
  </si>
  <si>
    <t>← La date d'aujourd'hui (ou date du bilan)</t>
  </si>
  <si>
    <t xml:space="preserve">  CA annuel HT</t>
  </si>
  <si>
    <t>← Votre chiffre d'affaires de l'année, en DH</t>
  </si>
  <si>
    <t xml:space="preserve">  Taux de TVA</t>
  </si>
  <si>
    <t>← Écrivez 0.20 pour 20 %  (pas "20")</t>
  </si>
  <si>
    <t>⚠  Pour la TVA : écrivez 0.20 (= 20 %). Ce chiffre sert dans TOUS les calculs.</t>
  </si>
  <si>
    <t xml:space="preserve">  ② COMMENT UTILISER CE FICHIER  (3 étapes)</t>
  </si>
  <si>
    <t xml:space="preserve">  ÉTAPE 1</t>
  </si>
  <si>
    <t>Onglet  1_Balance_GL
Collez la balance de votre logiciel comptable (Sage, Odoo…). C'est la voie rapide.</t>
  </si>
  <si>
    <t xml:space="preserve">  ÉTAPE 2</t>
  </si>
  <si>
    <t>Onglets  2_Clients  &amp;  3_Fournisseurs
OU tapez vos factures une par une. C'est plus long, mais bien plus précis.</t>
  </si>
  <si>
    <t xml:space="preserve">  ÉTAPE 3</t>
  </si>
  <si>
    <t>Onglet  5_Dashboard
Regardez vos résultats en clair. Tout y est expliqué comme à un débutant.</t>
  </si>
  <si>
    <t xml:space="preserve">  ③ BOUTONS (nécessitent l'activation des macros)</t>
  </si>
  <si>
    <t>📥  Importer la balance (CSV)</t>
  </si>
  <si>
    <t>✂  Nettoyer les n° de compte</t>
  </si>
  <si>
    <t>🔄  Réinitialiser les données</t>
  </si>
  <si>
    <t>📄  Exporter le Dashboard (PDF)</t>
  </si>
  <si>
    <t>→ Fichier → Options → Centre de gestion de la confidentialité → Activer les macros.</t>
  </si>
  <si>
    <t xml:space="preserve">  1 · BALANCE GÉNÉRALE  —  collez ici l'export de votre logiciel comptable</t>
  </si>
  <si>
    <t>Collez vos comptes dans les colonnes A à D (lignes 8 à 207). La colonne E (Solde) se calcule seule. Si les totaux du bas affichent 0 : vos numéros de compte contiennent des espaces → bouton « Nettoyer ».</t>
  </si>
  <si>
    <t xml:space="preserve">  Depuis Sage : Comptabilité → Balance générale → Exporter (N°Compte | Libellé | Débit | Crédit)</t>
  </si>
  <si>
    <t>N° Compte</t>
  </si>
  <si>
    <t>Libellé du compte</t>
  </si>
  <si>
    <t>Débit (DH)</t>
  </si>
  <si>
    <t>Crédit (DH)</t>
  </si>
  <si>
    <t>Solde (auto)</t>
  </si>
  <si>
    <t>TOTAL</t>
  </si>
  <si>
    <t xml:space="preserve">  🔍  EXTRACTIONS AUTOMATIQUES  (lues par le Dashboard)</t>
  </si>
  <si>
    <t xml:space="preserve">  Créances clients</t>
  </si>
  <si>
    <t>comptes 342*</t>
  </si>
  <si>
    <t xml:space="preserve">  Dettes fournisseurs</t>
  </si>
  <si>
    <t>comptes 441*</t>
  </si>
  <si>
    <t xml:space="preserve">  Chiffre d'affaires HT</t>
  </si>
  <si>
    <t>comptes 71*</t>
  </si>
  <si>
    <t xml:space="preserve">  Achats HT</t>
  </si>
  <si>
    <t>comptes 61*</t>
  </si>
  <si>
    <t xml:space="preserve">  Stocks</t>
  </si>
  <si>
    <t>comptes 31* à 37*</t>
  </si>
  <si>
    <t>⚠  Extractions à 0 ? Les n° de compte ont des espaces (ex : « 342 000 »). Cliquez « Nettoyer » dans l'Accueil.</t>
  </si>
  <si>
    <t xml:space="preserve">  2 · VOS CLIENTS  —  qui vous doit de l'argent, et depuis quand</t>
  </si>
  <si>
    <t>Export Dashboard →</t>
  </si>
  <si>
    <t>Tapez chaque facture client. Colonnes colorées = à remplir. Colonnes grises = calculées seules. Statut : IMPAYÉ (en retard) · EN COURS (pas encore due) · PAYÉ (réglée).</t>
  </si>
  <si>
    <t xml:space="preserve">  Date du jour :</t>
  </si>
  <si>
    <t xml:space="preserve">  CA HT :</t>
  </si>
  <si>
    <t xml:space="preserve">  TVA :</t>
  </si>
  <si>
    <t xml:space="preserve">  📊  VOS INDICATEURS CLIENTS  (calculés automatiquement)</t>
  </si>
  <si>
    <t>DSO GLOBAL</t>
  </si>
  <si>
    <t>DSO PONDÉRÉ</t>
  </si>
  <si>
    <t>TAUX RECOUVREMENT</t>
  </si>
  <si>
    <t>RETARD MOY. PONDÉRÉ</t>
  </si>
  <si>
    <t>IMPACT DES RETARDS</t>
  </si>
  <si>
    <t>jours</t>
  </si>
  <si>
    <t>% payé</t>
  </si>
  <si>
    <t>% encours</t>
  </si>
  <si>
    <t>Client</t>
  </si>
  <si>
    <t>N° Facture</t>
  </si>
  <si>
    <t>Date facture</t>
  </si>
  <si>
    <t>Date échéance</t>
  </si>
  <si>
    <t>Montant HT</t>
  </si>
  <si>
    <t>TVA %</t>
  </si>
  <si>
    <t>Mt TTC (auto)</t>
  </si>
  <si>
    <t>Statut</t>
  </si>
  <si>
    <t>Solde dû (auto)</t>
  </si>
  <si>
    <t>Jours écoulés</t>
  </si>
  <si>
    <t>Jours retard</t>
  </si>
  <si>
    <t xml:space="preserve">  TOTAL</t>
  </si>
  <si>
    <t xml:space="preserve">  3 · VOS FOURNISSEURS  —  qui vous devez payer, et sous quel délai</t>
  </si>
  <si>
    <t>Export →</t>
  </si>
  <si>
    <t>Tapez chaque facture fournisseur. « Délai contractuel » = le nombre de jours convenu pour payer (ex : 60). La date d'échéance se calcule seule. Statut : DÛ (à payer) · EN COURS · PAYÉ.</t>
  </si>
  <si>
    <t xml:space="preserve">  Achats HT (Balance) :</t>
  </si>
  <si>
    <t xml:space="preserve">  📊  VOS INDICATEURS FOURNISSEURS  (calculés automatiquement)</t>
  </si>
  <si>
    <t>DPO GLOBAL (simplifié)</t>
  </si>
  <si>
    <t>DPO PONDÉRÉ</t>
  </si>
  <si>
    <t>DÉLAI CONTRACTUEL MOY.</t>
  </si>
  <si>
    <t>ÉCART RÉEL vs CONTRAT</t>
  </si>
  <si>
    <t>Fournisseur</t>
  </si>
  <si>
    <t>Délai (j)</t>
  </si>
  <si>
    <t>Échéance (auto)</t>
  </si>
  <si>
    <t xml:space="preserve">  4 · VOS STOCKS  —  combien de temps vos produits dorment avant d'être vendus</t>
  </si>
  <si>
    <t>Une ligne par type de stock. Remplissez : stock de début, stock de fin, et le coût annuel des sorties (ce qui est sorti du stock dans l'année). Le DIO = nombre de jours de stock. La Rotation = combien de fois le stock tourne dans l'année. Tout en bas : le total de TOUS vos stocks.</t>
  </si>
  <si>
    <t>Type de stock</t>
  </si>
  <si>
    <t>Stock début (DH)</t>
  </si>
  <si>
    <t>Stock fin (DH)</t>
  </si>
  <si>
    <t>Stock moyen (auto)</t>
  </si>
  <si>
    <t>Coût annuel sorties (DH)</t>
  </si>
  <si>
    <t>DIO (auto)</t>
  </si>
  <si>
    <t>Rotation (auto)</t>
  </si>
  <si>
    <t>Matières premières</t>
  </si>
  <si>
    <t>En-cours de production</t>
  </si>
  <si>
    <t>Produits finis</t>
  </si>
  <si>
    <t>Marchandises</t>
  </si>
  <si>
    <t xml:space="preserve">  TOTAL / GLOBAL</t>
  </si>
  <si>
    <t xml:space="preserve">  📦  RÉSULTAT — combien de jours vos produits dorment en stock</t>
  </si>
  <si>
    <t>DIO GLOBAL</t>
  </si>
  <si>
    <t>jours  ·  c'est le temps moyen entre l'entrée en stock et la vente. Plus c'est petit, moins d'argent dort.</t>
  </si>
  <si>
    <t>TABLEAU DE BORD — VOTRE TRÉSORERIE EN CLAIR</t>
  </si>
  <si>
    <t>Ce tableau répond à une seule question : combien de temps VOTRE argent reste coincé avant de revenir dans votre poche ? Plus les délais sont courts, mieux vous respirez.</t>
  </si>
  <si>
    <t xml:space="preserve">  ①  D'OÙ VIENNENT VOS CHIFFRES ?  (choisissez ci-dessous)</t>
  </si>
  <si>
    <t xml:space="preserve">  Ma source :</t>
  </si>
  <si>
    <t>ÉCHÉANCIER</t>
  </si>
  <si>
    <t>📋  ÉCHÉANCIER  (facture par facture)</t>
  </si>
  <si>
    <t>📊  BALANCE GÉNÉRALE  (les totaux)</t>
  </si>
  <si>
    <t>Vous avez tapé vos factures une par une (onglets Clients &amp; Fournisseurs).
→ Calcul TRÈS précis, comme peser chaque fruit du panier.
Choisissez ceci si les onglets Clients et Fournisseurs sont remplis.</t>
  </si>
  <si>
    <t>Vous avez juste collé les totaux de votre logiciel (onglet Balance).
→ Calcul rapide, comme peser tout le panier d'un coup.
Choisissez ceci si vous avez seulement la balance comptable.</t>
  </si>
  <si>
    <t>🤔  Pas sûr ?  Si les onglets Clients &amp; Fournisseurs sont remplis → ÉCHÉANCIER.  Sinon → BALANCE GÉNÉRALE.</t>
  </si>
  <si>
    <t xml:space="preserve">  ②  VOS 3 CHIFFRES CLÉS  (expliqués simplement)</t>
  </si>
  <si>
    <t>⏱️ VOS CLIENTS VOUS PAIENT EN</t>
  </si>
  <si>
    <t>⏳ VOUS PAYEZ VOS FOURNISSEURS EN</t>
  </si>
  <si>
    <t>📦 VOS PRODUITS DORMENT EN STOCK</t>
  </si>
  <si>
    <t>Le temps que mettent vos clients à vous régler. Plus c'est court, plus vite l'argent rentre.</t>
  </si>
  <si>
    <t>Le temps que vous mettez à payer. Payer un peu tard = garder son cash plus longtemps (sans fâcher personne).</t>
  </si>
  <si>
    <t>Le temps que vos marchandises restent en stock avant d'être vendues. Plus c'est court, moins d'argent dort.</t>
  </si>
  <si>
    <t>🛈 garder le cash sans fâcher le fournisseur</t>
  </si>
  <si>
    <t xml:space="preserve">  ③  LE VERDICT : DE COMBIEN DE CASH AVEZ-VOUS BESOIN ?</t>
  </si>
  <si>
    <t>💰  VOTRE BESOIN EN CASH  (BFR)</t>
  </si>
  <si>
    <t>🔄  VOTRE CYCLE DE CASH  (CCC)</t>
  </si>
  <si>
    <t>C'est l'argent que votre activité « mange » en permanence pour tourner.
BFR = ce que vos clients vous doivent + vos stocks − ce que vous devez aux fournisseurs.
Positif = vous devez avancer cette somme. Négatif = votre activité s'autofinance.</t>
  </si>
  <si>
    <t>Entre le moment où vous payez vos fournisseurs et celui où vos clients vous paient, il s'écoule ce nombre de jours.
Pendant ce temps, c'est VOTRE argent qui finance tout.
CCC = DSO + DIO − DPO. Plus il est petit (ou négatif), mieux c'est.</t>
  </si>
  <si>
    <t xml:space="preserve">  ④  LES MOYENNES DE VOTRE SECTEUR AU MAROC  (pour vous comparer)</t>
  </si>
  <si>
    <t>Comparez vos chiffres ci-dessus à la moyenne de votre secteur. Le vôtre est en surbrillance si vous l'avez saisi dans l'Accueil.</t>
  </si>
  <si>
    <t>Secteur</t>
  </si>
  <si>
    <t>DSO moyen</t>
  </si>
  <si>
    <t>DPO moyen</t>
  </si>
  <si>
    <t>DIO moyen</t>
  </si>
  <si>
    <t>BFR / CA</t>
  </si>
  <si>
    <t>Distribution</t>
  </si>
  <si>
    <t>8–12 %</t>
  </si>
  <si>
    <t>Industrie</t>
  </si>
  <si>
    <t>15–20 %</t>
  </si>
  <si>
    <t>BTP</t>
  </si>
  <si>
    <t>20–30 %</t>
  </si>
  <si>
    <t>Services</t>
  </si>
  <si>
    <t>5–10 %</t>
  </si>
  <si>
    <t>Agroalimentaire</t>
  </si>
  <si>
    <t>6–12 %</t>
  </si>
  <si>
    <t xml:space="preserve">  ⑤  VOS DONNÉES SONT-ELLES COHÉRENTES ?</t>
  </si>
  <si>
    <t xml:space="preserve">  Écart DSO (2 méthodes) :</t>
  </si>
  <si>
    <t>← moins de 5 j : parfait  ·  5 à 15 j : à vérifier  ·  plus de 15 j : données incomplètes</t>
  </si>
  <si>
    <t>🔒  Onglets protégés. Mot de passe si besoin : BYE2026</t>
  </si>
  <si>
    <t>Table de référence (ne pas modifier) :</t>
  </si>
  <si>
    <t xml:space="preserve">  📖  MODE D'EMPLOI — DashboardBFR v5</t>
  </si>
  <si>
    <t xml:space="preserve">  ▸  EN 30 SECONDES</t>
  </si>
  <si>
    <t xml:space="preserve">  À quoi ça sert</t>
  </si>
  <si>
    <t>À savoir combien de temps votre argent reste bloqué (clients qui tardent, stock qui dort) et combien de cash votre activité réclame en permanence.</t>
  </si>
  <si>
    <t xml:space="preserve">  Par où commencer</t>
  </si>
  <si>
    <t>Onglet Accueil → remplissez les cases colorées. Puis SOIT collez votre balance (onglet Balance), SOIT tapez vos factures (Clients/Fournisseurs). Puis lisez le Dashboard.</t>
  </si>
  <si>
    <t xml:space="preserve">  ▸  ÉCHÉANCIER OU BALANCE ?</t>
  </si>
  <si>
    <t xml:space="preserve">  Échéancier (précis)</t>
  </si>
  <si>
    <t>Vous tapez vos factures une par une. Les DSO/DPO sont PONDÉRÉS : une grosse facture pèse plus qu'une petite. C'est la vérité du terrain.</t>
  </si>
  <si>
    <t xml:space="preserve">  Balance (rapide)</t>
  </si>
  <si>
    <t>Vous collez les totaux de votre logiciel. Les DSO/DPO sont GLOBAUX (une moyenne). Rapide, suffisant pour une première photo.</t>
  </si>
  <si>
    <t xml:space="preserve">  Le choix</t>
  </si>
  <si>
    <t>Dans le Dashboard, case « Ma source ». Aucun calcul ne change dans le fond : seule la source des chiffres change.</t>
  </si>
  <si>
    <t xml:space="preserve">  ▸  CE QUE CHAQUE CHIFFRE VEUT DIRE</t>
  </si>
  <si>
    <t xml:space="preserve">  DSO</t>
  </si>
  <si>
    <t>Jours que mettent vos CLIENTS à vous payer. Bas = bon.</t>
  </si>
  <si>
    <t xml:space="preserve">  DPO</t>
  </si>
  <si>
    <t>Jours que VOUS mettez à payer vos fournisseurs. Un DPO proche du délai contractuel = sain.</t>
  </si>
  <si>
    <t xml:space="preserve">  DIO</t>
  </si>
  <si>
    <t>Jours pendant lesquels vos PRODUITS restent en stock. Bas = bon.</t>
  </si>
  <si>
    <t xml:space="preserve">  Taux de recouvrement</t>
  </si>
  <si>
    <t>Part de vos factures déjà encaissées (payées) sur le total facturé.</t>
  </si>
  <si>
    <t xml:space="preserve">  Retard moyen pondéré</t>
  </si>
  <si>
    <t>Combien de jours de retard, en moyenne (pondérée par montant), sur vos factures échues.</t>
  </si>
  <si>
    <t xml:space="preserve">  Indice d'impact des retards</t>
  </si>
  <si>
    <t>Part de votre encours-jours qui vient des retards. Élevé = vos retardataires plombent votre DSO.</t>
  </si>
  <si>
    <t xml:space="preserve">  Délai contractuel moyen</t>
  </si>
  <si>
    <t>La moyenne (pondérée) des délais que vous avez négociés avec vos fournisseurs.</t>
  </si>
  <si>
    <t xml:space="preserve">  Écart réel vs contrat</t>
  </si>
  <si>
    <t>DPO réel − délai négocié. Positif = vous dépassez (risque fournisseur). Négatif = vous payez trop vite (cash perdu).</t>
  </si>
  <si>
    <t xml:space="preserve">  BFR</t>
  </si>
  <si>
    <t>Créances HT + Stocks − Dettes HT. L'argent que l'activité immobilise.</t>
  </si>
  <si>
    <t xml:space="preserve">  CCC</t>
  </si>
  <si>
    <t>DSO + DIO − DPO. Le cycle complet avant que le cash revienne.</t>
  </si>
  <si>
    <t xml:space="preserve">  ▸  SI ÇA COINCE</t>
  </si>
  <si>
    <t xml:space="preserve">  Extractions à 0</t>
  </si>
  <si>
    <t>Les n° de compte ont des espaces (« 342 000 »). Bouton « Nettoyer » dans l'Accueil.</t>
  </si>
  <si>
    <t xml:space="preserve">  Chiffres bizarres</t>
  </si>
  <si>
    <t>Vérifiez le CA et la TVA de l'Accueil (TVA = 0.20, pas 20).</t>
  </si>
  <si>
    <t xml:space="preserve">  Je veux tout modifier</t>
  </si>
  <si>
    <t>Révision → Ôter la protection. Mot de passe : BYE2026</t>
  </si>
  <si>
    <t>CASH MANAGEMENT — PILOTAGE DE LA TRÉSORERIE OPÉRATIONNELLE</t>
  </si>
  <si>
    <t>Lecture opérationnelle clients–fournisseurs–stocks. Les soldes bancaires, la paie, la fiscalité, la dette et le CAPEX ne sont pas inclus dans cette version.</t>
  </si>
  <si>
    <t>①  LES 10 KPI DE TRÉSORERIE — VUE DG / DAF</t>
  </si>
  <si>
    <t>CASH NET OPÉRATIONNEL À 30 JOURS</t>
  </si>
  <si>
    <t>BESOIN MAXIMUM — 13 SEMAINES</t>
  </si>
  <si>
    <t>COUVERTURE DES DÉCAISSEMENTS — 30 J</t>
  </si>
  <si>
    <t>BFR IMMOBILISÉ</t>
  </si>
  <si>
    <t>CYCLE DE CONVERSION DU CASH</t>
  </si>
  <si>
    <t>Encaissements exigibles − paiements fournisseurs exigibles.</t>
  </si>
  <si>
    <t>Point de tension maximal du calendrier opérationnel cumulé.</t>
  </si>
  <si>
    <t>Au-dessus de 1,00× : les encaissements couvrent les sorties.</t>
  </si>
  <si>
    <t>Besoin permanent financé par l'entreprise.</t>
  </si>
  <si>
    <t>DSO + DIO − DPO : durée de financement du cycle.</t>
  </si>
  <si>
    <t>CASH TOTAL LIBÉRABLE</t>
  </si>
  <si>
    <t>CASH CLIENTS À RISQUE</t>
  </si>
  <si>
    <t>VITESSE D'ENCAISSEMENT</t>
  </si>
  <si>
    <t>EXPOSITION OPÉRATIONNELLE NETTE</t>
  </si>
  <si>
    <t>CONCENTRATION — TOP 5 CLIENTS</t>
  </si>
  <si>
    <t>Potentiel DSO + DIO + DPO par rapport aux cibles.</t>
  </si>
  <si>
    <t>Soldes clients échus à la date d'arrêté.</t>
  </si>
  <si>
    <t>Taux de recouvrement réel des factures.</t>
  </si>
  <si>
    <t>Encours clients − encours fournisseurs.</t>
  </si>
  <si>
    <t>Part de l'encours portée par les cinq principaux clients.</t>
  </si>
  <si>
    <t>BFR EN JOURS DE CA</t>
  </si>
  <si>
    <t>ÉCART DPO / CONTRAT</t>
  </si>
  <si>
    <t>②  CALENDRIER DE CASH OPÉRATIONNEL — 13 SEMAINES</t>
  </si>
  <si>
    <t>Semaine</t>
  </si>
  <si>
    <t>Début</t>
  </si>
  <si>
    <t>Fin</t>
  </si>
  <si>
    <t>Encaissements</t>
  </si>
  <si>
    <t>Décaissements</t>
  </si>
  <si>
    <t>Cash net</t>
  </si>
  <si>
    <t>Cumul</t>
  </si>
  <si>
    <t>S1</t>
  </si>
  <si>
    <t>S2</t>
  </si>
  <si>
    <t>S3</t>
  </si>
  <si>
    <t>S4</t>
  </si>
  <si>
    <t>S5</t>
  </si>
  <si>
    <t>S6</t>
  </si>
  <si>
    <t>S7</t>
  </si>
  <si>
    <t>S8</t>
  </si>
  <si>
    <t>S9</t>
  </si>
  <si>
    <t>S10</t>
  </si>
  <si>
    <t>S11</t>
  </si>
  <si>
    <t>S12</t>
  </si>
  <si>
    <t>S13</t>
  </si>
  <si>
    <t>③  CASH À RISQUE — CLIENTS ET FOURNISSEURS</t>
  </si>
  <si>
    <t>Ancienneté clients</t>
  </si>
  <si>
    <t>Montant</t>
  </si>
  <si>
    <t>Nb factures</t>
  </si>
  <si>
    <t>Non échues</t>
  </si>
  <si>
    <t>1–30 jours</t>
  </si>
  <si>
    <t>31–60 jours</t>
  </si>
  <si>
    <t>61–90 jours</t>
  </si>
  <si>
    <t>Plus de 90 jours</t>
  </si>
  <si>
    <t>Risque fournisseurs</t>
  </si>
  <si>
    <t>Valeur</t>
  </si>
  <si>
    <t>Unité</t>
  </si>
  <si>
    <t>Lecture</t>
  </si>
  <si>
    <t>Dettes fournisseurs échues</t>
  </si>
  <si>
    <t>DH</t>
  </si>
  <si>
    <t>Sorties déjà exigibles</t>
  </si>
  <si>
    <t>Factures fournisseurs échues</t>
  </si>
  <si>
    <t>factures</t>
  </si>
  <si>
    <t>Volume à traiter</t>
  </si>
  <si>
    <t>DPO pondéré</t>
  </si>
  <si>
    <t>Délai réel</t>
  </si>
  <si>
    <t>Délai contractuel</t>
  </si>
  <si>
    <t>Délai négocié</t>
  </si>
  <si>
    <t>Écart réel vs contrat</t>
  </si>
  <si>
    <t>Positif = dépassement</t>
  </si>
  <si>
    <t>④  PLAN DE LIBÉRATION DU CASH</t>
  </si>
  <si>
    <t>Levier</t>
  </si>
  <si>
    <t>Actuel</t>
  </si>
  <si>
    <t>Cible</t>
  </si>
  <si>
    <t>Écart actionnable</t>
  </si>
  <si>
    <t>Base annuelle</t>
  </si>
  <si>
    <t>Cash libérable</t>
  </si>
  <si>
    <t>Clients — DSO</t>
  </si>
  <si>
    <t>Stocks — DIO</t>
  </si>
  <si>
    <t>Fournisseurs — DPO</t>
  </si>
  <si>
    <t>⑤  CONTRÔLES DE COHÉRENCE ET QUALITÉ DES DONNÉES</t>
  </si>
  <si>
    <t>Contrôle</t>
  </si>
  <si>
    <t>Valeur calculée</t>
  </si>
  <si>
    <t>Tolérance</t>
  </si>
  <si>
    <t>Où corriger</t>
  </si>
  <si>
    <t>MODEL STATUS</t>
  </si>
  <si>
    <t>CA annuel renseigné</t>
  </si>
  <si>
    <t>&gt; 0</t>
  </si>
  <si>
    <t>0_Accueil!D11</t>
  </si>
  <si>
    <t>Base du BFR en jours</t>
  </si>
  <si>
    <t>TVA cohérente</t>
  </si>
  <si>
    <t>0 % à 30 %</t>
  </si>
  <si>
    <t>0_Accueil!D12</t>
  </si>
  <si>
    <t>TVA saisie en décimal</t>
  </si>
  <si>
    <t>Écart DSO entre méthodes</t>
  </si>
  <si>
    <t>≤ 5 jours</t>
  </si>
  <si>
    <t>Données clients / balance</t>
  </si>
  <si>
    <t>Qualité des deux méthodes</t>
  </si>
  <si>
    <t>Un statut PASS confirme uniquement les contrôles visibles ci-contre. Il ne remplace pas la validation bancaire, fiscale ou comptable de clôture.</t>
  </si>
  <si>
    <t>Encours clients vs balance</t>
  </si>
  <si>
    <t>± 1 DH</t>
  </si>
  <si>
    <t>2_Clients / 1_Balance_GL</t>
  </si>
  <si>
    <t>Écart auxiliaire / comptabilité</t>
  </si>
  <si>
    <t>Dettes fournisseurs vs balance</t>
  </si>
  <si>
    <t>3_Fournisseurs / 1_Balance_GL</t>
  </si>
  <si>
    <t>⑥  SOURCES, PÉRIMÈTRE ET MODE D'EMPLOI</t>
  </si>
  <si>
    <t>Sources connectées : 0_Accueil (paramètres), 1_Balance_GL (comptes 342/441/71/61/3), 2_Clients (échéancier et recouvrement), 3_Fournisseurs (échéancier et délais), 4_Stocks (DIO/rotation), 5_Dashboard (BFR/CCC/cibles).</t>
  </si>
  <si>
    <t>Mode d'emploi : renseignez les feuilles sources comme prévu dans le modèle. Toutes les formules de Cash Management s'actualisent automatiquement. La première semaine reprend également les factures déjà échues.</t>
  </si>
  <si>
    <t>Limite : ce reporting mesure la trésorerie opérationnelle du cycle commercial. Pour une position bancaire complète, ajouter soldes bancaires, paie, TVA/impôts, CAPEX, dette, intérêts et lignes de crédit.</t>
  </si>
  <si>
    <t>dss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</si>
</sst>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0.0;\-0.0;0.0"/>
    <numFmt numFmtId="167" formatCode="0.0&quot; j&quot;"/>
    <numFmt numFmtId="168" formatCode="#,##0&quot; DH&quot;"/>
    <numFmt numFmtId="169" formatCode="0.0&quot; jours&quot;"/>
    <numFmt numFmtId="170" formatCode="#,##0\ &quot;DH&quot;;[Red]\(#,##0\ &quot;DH&quot;\);\-"/>
    <numFmt numFmtId="171" formatCode="0.00&quot;x&quot;;[Red]\(0.00&quot;x&quot;\);\-"/>
    <numFmt numFmtId="172" formatCode="0.0\ &quot;j&quot;;[Red]\(0.0\ &quot;j&quot;\);\-"/>
    <numFmt numFmtId="173" formatCode="0.0%;[Red]\(0.0%\);\-"/>
  </numFmts>
  <fonts count="47" x14ac:knownFonts="1">
    <font>
      <sz val="11"/>
      <color theme="1"/>
      <name val="Calibri"/>
    </font>
    <font>
      <b/>
      <sz val="22"/>
      <color rgb="FFFFFFFF"/>
      <name val="Calibri"/>
    </font>
    <font>
      <sz val="11"/>
      <color rgb="FF00D4CF"/>
      <name val="Calibri"/>
    </font>
    <font>
      <sz val="10"/>
      <color rgb="FF1A0F35"/>
      <name val="Calibri"/>
    </font>
    <font>
      <b/>
      <sz val="11"/>
      <color rgb="FFFFFFFF"/>
      <name val="Calibri"/>
    </font>
    <font>
      <b/>
      <sz val="10"/>
      <color rgb="FF1A0F35"/>
      <name val="Calibri"/>
    </font>
    <font>
      <i/>
      <sz val="9"/>
      <color rgb="FF6B6880"/>
      <name val="Calibri"/>
    </font>
    <font>
      <sz val="9"/>
      <color rgb="FFC77700"/>
      <name val="Calibri"/>
    </font>
    <font>
      <b/>
      <sz val="10"/>
      <color rgb="FFFFFFFF"/>
      <name val="Calibri"/>
    </font>
    <font>
      <sz val="9"/>
      <color rgb="FF1A0F35"/>
      <name val="Calibri"/>
    </font>
    <font>
      <sz val="8"/>
      <color rgb="FF6B6880"/>
      <name val="Calibri"/>
    </font>
    <font>
      <b/>
      <sz val="13"/>
      <color rgb="FFFFFFFF"/>
      <name val="Calibri"/>
    </font>
    <font>
      <b/>
      <sz val="10"/>
      <color rgb="FF5B2BA6"/>
      <name val="Calibri"/>
    </font>
    <font>
      <b/>
      <sz val="10"/>
      <color rgb="FF00D4CF"/>
      <name val="Calibri"/>
    </font>
    <font>
      <b/>
      <sz val="9"/>
      <color rgb="FF1A0F35"/>
      <name val="Calibri"/>
    </font>
    <font>
      <sz val="9"/>
      <color rgb="FF6B6880"/>
      <name val="Calibri"/>
    </font>
    <font>
      <b/>
      <sz val="8"/>
      <color rgb="FFFFFFFF"/>
      <name val="Calibri"/>
    </font>
    <font>
      <b/>
      <sz val="16"/>
      <color rgb="FF1A0F35"/>
      <name val="Calibri"/>
    </font>
    <font>
      <b/>
      <sz val="9"/>
      <color rgb="FFFFFFFF"/>
      <name val="Calibri"/>
    </font>
    <font>
      <b/>
      <sz val="10"/>
      <color rgb="FF067D7A"/>
      <name val="Calibri"/>
    </font>
    <font>
      <b/>
      <sz val="11"/>
      <color rgb="FF00D4CF"/>
      <name val="Calibri"/>
    </font>
    <font>
      <b/>
      <sz val="12"/>
      <color rgb="FFFFFFFF"/>
      <name val="Calibri"/>
    </font>
    <font>
      <b/>
      <sz val="24"/>
      <color rgb="FF1A0F35"/>
      <name val="Calibri"/>
    </font>
    <font>
      <b/>
      <sz val="17"/>
      <color rgb="FFFFFFFF"/>
      <name val="Calibri"/>
    </font>
    <font>
      <sz val="10"/>
      <color rgb="FFFFFFFF"/>
      <name val="Calibri"/>
    </font>
    <font>
      <b/>
      <sz val="26"/>
      <color rgb="FF1A0F35"/>
      <name val="Calibri"/>
    </font>
    <font>
      <b/>
      <sz val="10"/>
      <color rgb="FF9D54FF"/>
      <name val="Calibri"/>
    </font>
    <font>
      <b/>
      <sz val="22"/>
      <color rgb="FF1A0F35"/>
      <name val="Calibri"/>
    </font>
    <font>
      <b/>
      <sz val="11"/>
      <color rgb="FF5B2BA6"/>
      <name val="Calibri"/>
    </font>
    <font>
      <sz val="9"/>
      <color rgb="FF00D4CF"/>
      <name val="Calibri"/>
    </font>
    <font>
      <b/>
      <sz val="14"/>
      <color rgb="FFFFFFFF"/>
      <name val="Calibri"/>
    </font>
    <font>
      <b/>
      <sz val="9"/>
      <color rgb="FF5B2BA6"/>
      <name val="Calibri"/>
    </font>
    <font>
      <sz val="10"/>
      <color rgb="FF2C2140"/>
      <name val="Calibri"/>
    </font>
    <font>
      <b/>
      <sz val="19"/>
      <color rgb="FFFFFFFF"/>
      <name val="Calibri"/>
    </font>
    <font>
      <b/>
      <sz val="9"/>
      <color rgb="FF170B33"/>
      <name val="Calibri"/>
    </font>
    <font>
      <i/>
      <sz val="9"/>
      <color rgb="FF746A86"/>
      <name val="Calibri"/>
    </font>
    <font>
      <b/>
      <sz val="21"/>
      <color rgb="FF00D7C7"/>
      <name val="Calibri"/>
    </font>
    <font>
      <sz val="8"/>
      <color rgb="FF746A86"/>
      <name val="Calibri"/>
    </font>
    <font>
      <b/>
      <sz val="21"/>
      <color rgb="FF8E4BFF"/>
      <name val="Calibri"/>
    </font>
    <font>
      <b/>
      <sz val="21"/>
      <color rgb="FF0B8F87"/>
      <name val="Calibri"/>
    </font>
    <font>
      <b/>
      <sz val="21"/>
      <color rgb="FF6E58FF"/>
      <name val="Calibri"/>
    </font>
    <font>
      <b/>
      <sz val="8"/>
      <color rgb="FF170B33"/>
      <name val="Calibri"/>
    </font>
    <font>
      <b/>
      <sz val="14"/>
      <color rgb="FF0B8F87"/>
      <name val="Calibri"/>
    </font>
    <font>
      <sz val="9"/>
      <color rgb="FF2C2140"/>
      <name val="Calibri"/>
    </font>
    <font>
      <b/>
      <sz val="9"/>
      <color rgb="FF8E4BFF"/>
      <name val="Calibri"/>
    </font>
    <font>
      <b/>
      <sz val="10"/>
      <color rgb="FF170B33"/>
      <name val="Calibri"/>
    </font>
    <font>
      <b/>
      <sz val="12"/>
      <color rgb="FF8E4BFF"/>
      <name val="Calibri"/>
    </font>
  </fonts>
  <fills count="19">
    <fill>
      <patternFill patternType="none"/>
    </fill>
    <fill>
      <patternFill patternType="gray125"/>
    </fill>
    <fill>
      <patternFill patternType="solid">
        <fgColor rgb="FF1A0F35"/>
      </patternFill>
    </fill>
    <fill>
      <patternFill patternType="solid">
        <fgColor rgb="FF00D4CF"/>
      </patternFill>
    </fill>
    <fill>
      <patternFill patternType="solid">
        <fgColor rgb="FF9D54FF"/>
      </patternFill>
    </fill>
    <fill>
      <patternFill patternType="solid">
        <fgColor rgb="FFE9E3FD"/>
      </patternFill>
    </fill>
    <fill>
      <patternFill patternType="solid">
        <fgColor rgb="FFE8FBFA"/>
      </patternFill>
    </fill>
    <fill>
      <patternFill patternType="solid">
        <fgColor rgb="FFFFF4D6"/>
      </patternFill>
    </fill>
    <fill>
      <patternFill patternType="solid">
        <fgColor rgb="FFF4F1FE"/>
      </patternFill>
    </fill>
    <fill>
      <patternFill patternType="solid">
        <fgColor rgb="FF067D7A"/>
      </patternFill>
    </fill>
    <fill>
      <patternFill patternType="solid">
        <fgColor rgb="FF7D63FF"/>
      </patternFill>
    </fill>
    <fill>
      <patternFill patternType="solid">
        <fgColor rgb="FFFFFFFF"/>
      </patternFill>
    </fill>
    <fill>
      <patternFill patternType="solid">
        <fgColor rgb="FF170B33"/>
      </patternFill>
    </fill>
    <fill>
      <patternFill patternType="solid">
        <fgColor rgb="FFF4F1FB"/>
      </patternFill>
    </fill>
    <fill>
      <patternFill patternType="solid">
        <fgColor rgb="FFFFFFFF"/>
      </patternFill>
    </fill>
    <fill>
      <patternFill patternType="solid">
        <fgColor rgb="FF8E4BFF"/>
      </patternFill>
    </fill>
    <fill>
      <patternFill patternType="solid">
        <fgColor rgb="FF231247"/>
      </patternFill>
    </fill>
    <fill>
      <patternFill patternType="solid">
        <fgColor rgb="FFEDE7F8"/>
      </patternFill>
    </fill>
    <fill>
      <patternFill patternType="solid">
        <fgColor rgb="FF0B8F87"/>
      </patternFill>
    </fill>
  </fills>
  <borders count="58">
    <border>
      <left/>
      <right/>
      <top/>
      <bottom/>
      <diagonal/>
    </border>
    <border>
      <left style="thin">
        <color rgb="FF00D4CF"/>
      </left>
      <right style="thin">
        <color rgb="FF00D4CF"/>
      </right>
      <top style="thin">
        <color rgb="FF00D4CF"/>
      </top>
      <bottom style="thin">
        <color rgb="FF00D4CF"/>
      </bottom>
      <diagonal/>
    </border>
    <border>
      <left style="thin">
        <color rgb="FF9D54FF"/>
      </left>
      <right style="thin">
        <color rgb="FF9D54FF"/>
      </right>
      <top style="thin">
        <color rgb="FF9D54FF"/>
      </top>
      <bottom style="thin">
        <color rgb="FF9D54FF"/>
      </bottom>
      <diagonal/>
    </border>
    <border>
      <left style="thin">
        <color rgb="FF7D63FF"/>
      </left>
      <right style="thin">
        <color rgb="FF7D63FF"/>
      </right>
      <top style="thin">
        <color rgb="FF7D63FF"/>
      </top>
      <bottom style="thin">
        <color rgb="FF7D63FF"/>
      </bottom>
      <diagonal/>
    </border>
    <border>
      <left style="thin">
        <color rgb="FF067D7A"/>
      </left>
      <right style="thin">
        <color rgb="FF067D7A"/>
      </right>
      <top style="thin">
        <color rgb="FF067D7A"/>
      </top>
      <bottom style="thin">
        <color rgb="FF067D7A"/>
      </bottom>
      <diagonal/>
    </border>
    <border>
      <left/>
      <right/>
      <top/>
      <bottom style="thick">
        <color rgb="FF00D7C7"/>
      </bottom>
      <diagonal/>
    </border>
    <border>
      <left/>
      <right/>
      <top/>
      <bottom style="thin">
        <color rgb="FFD8CCEE"/>
      </bottom>
      <diagonal/>
    </border>
    <border>
      <left/>
      <right/>
      <top/>
      <bottom style="thin">
        <color rgb="FF00D7C7"/>
      </bottom>
      <diagonal/>
    </border>
    <border>
      <left/>
      <right/>
      <top/>
      <bottom style="medium">
        <color rgb="FF170B33"/>
      </bottom>
      <diagonal/>
    </border>
    <border>
      <left style="thin">
        <color rgb="FF00D7C7"/>
      </left>
      <right/>
      <top style="medium">
        <color rgb="FF00D7C7"/>
      </top>
      <bottom/>
      <diagonal/>
    </border>
    <border>
      <left/>
      <right/>
      <top style="medium">
        <color rgb="FF00D7C7"/>
      </top>
      <bottom/>
      <diagonal/>
    </border>
    <border>
      <left/>
      <right style="thin">
        <color rgb="FF00D7C7"/>
      </right>
      <top style="medium">
        <color rgb="FF00D7C7"/>
      </top>
      <bottom/>
      <diagonal/>
    </border>
    <border>
      <left style="thin">
        <color rgb="FF00D7C7"/>
      </left>
      <right/>
      <top/>
      <bottom/>
      <diagonal/>
    </border>
    <border>
      <left/>
      <right style="thin">
        <color rgb="FF00D7C7"/>
      </right>
      <top/>
      <bottom/>
      <diagonal/>
    </border>
    <border>
      <left style="thin">
        <color rgb="FF00D7C7"/>
      </left>
      <right/>
      <top/>
      <bottom style="thin">
        <color rgb="FF00D7C7"/>
      </bottom>
      <diagonal/>
    </border>
    <border>
      <left/>
      <right style="thin">
        <color rgb="FF00D7C7"/>
      </right>
      <top/>
      <bottom style="thin">
        <color rgb="FF00D7C7"/>
      </bottom>
      <diagonal/>
    </border>
    <border>
      <left style="thin">
        <color rgb="FF8E4BFF"/>
      </left>
      <right/>
      <top style="medium">
        <color rgb="FF8E4BFF"/>
      </top>
      <bottom/>
      <diagonal/>
    </border>
    <border>
      <left/>
      <right/>
      <top style="medium">
        <color rgb="FF8E4BFF"/>
      </top>
      <bottom/>
      <diagonal/>
    </border>
    <border>
      <left/>
      <right style="thin">
        <color rgb="FF8E4BFF"/>
      </right>
      <top style="medium">
        <color rgb="FF8E4BFF"/>
      </top>
      <bottom/>
      <diagonal/>
    </border>
    <border>
      <left style="thin">
        <color rgb="FF8E4BFF"/>
      </left>
      <right/>
      <top/>
      <bottom/>
      <diagonal/>
    </border>
    <border>
      <left/>
      <right style="thin">
        <color rgb="FF8E4BFF"/>
      </right>
      <top/>
      <bottom/>
      <diagonal/>
    </border>
    <border>
      <left style="thin">
        <color rgb="FF8E4BFF"/>
      </left>
      <right/>
      <top/>
      <bottom style="thin">
        <color rgb="FF8E4BFF"/>
      </bottom>
      <diagonal/>
    </border>
    <border>
      <left/>
      <right/>
      <top/>
      <bottom style="thin">
        <color rgb="FF8E4BFF"/>
      </bottom>
      <diagonal/>
    </border>
    <border>
      <left/>
      <right style="thin">
        <color rgb="FF8E4BFF"/>
      </right>
      <top/>
      <bottom style="thin">
        <color rgb="FF8E4BFF"/>
      </bottom>
      <diagonal/>
    </border>
    <border>
      <left style="thin">
        <color rgb="FF0B8F87"/>
      </left>
      <right/>
      <top style="medium">
        <color rgb="FF0B8F87"/>
      </top>
      <bottom/>
      <diagonal/>
    </border>
    <border>
      <left/>
      <right/>
      <top style="medium">
        <color rgb="FF0B8F87"/>
      </top>
      <bottom/>
      <diagonal/>
    </border>
    <border>
      <left/>
      <right style="thin">
        <color rgb="FF0B8F87"/>
      </right>
      <top style="medium">
        <color rgb="FF0B8F87"/>
      </top>
      <bottom/>
      <diagonal/>
    </border>
    <border>
      <left style="thin">
        <color rgb="FF0B8F87"/>
      </left>
      <right/>
      <top/>
      <bottom/>
      <diagonal/>
    </border>
    <border>
      <left/>
      <right style="thin">
        <color rgb="FF0B8F87"/>
      </right>
      <top/>
      <bottom/>
      <diagonal/>
    </border>
    <border>
      <left style="thin">
        <color rgb="FF0B8F87"/>
      </left>
      <right/>
      <top/>
      <bottom style="thin">
        <color rgb="FF0B8F87"/>
      </bottom>
      <diagonal/>
    </border>
    <border>
      <left/>
      <right/>
      <top/>
      <bottom style="thin">
        <color rgb="FF0B8F87"/>
      </bottom>
      <diagonal/>
    </border>
    <border>
      <left/>
      <right style="thin">
        <color rgb="FF0B8F87"/>
      </right>
      <top/>
      <bottom style="thin">
        <color rgb="FF0B8F87"/>
      </bottom>
      <diagonal/>
    </border>
    <border>
      <left style="thin">
        <color rgb="FF6E58FF"/>
      </left>
      <right/>
      <top style="medium">
        <color rgb="FF6E58FF"/>
      </top>
      <bottom/>
      <diagonal/>
    </border>
    <border>
      <left/>
      <right/>
      <top style="medium">
        <color rgb="FF6E58FF"/>
      </top>
      <bottom/>
      <diagonal/>
    </border>
    <border>
      <left/>
      <right style="thin">
        <color rgb="FF6E58FF"/>
      </right>
      <top style="medium">
        <color rgb="FF6E58FF"/>
      </top>
      <bottom/>
      <diagonal/>
    </border>
    <border>
      <left style="thin">
        <color rgb="FF6E58FF"/>
      </left>
      <right/>
      <top/>
      <bottom/>
      <diagonal/>
    </border>
    <border>
      <left/>
      <right style="thin">
        <color rgb="FF6E58FF"/>
      </right>
      <top/>
      <bottom/>
      <diagonal/>
    </border>
    <border>
      <left style="thin">
        <color rgb="FF6E58FF"/>
      </left>
      <right/>
      <top/>
      <bottom style="thin">
        <color rgb="FF6E58FF"/>
      </bottom>
      <diagonal/>
    </border>
    <border>
      <left/>
      <right/>
      <top/>
      <bottom style="thin">
        <color rgb="FF6E58FF"/>
      </bottom>
      <diagonal/>
    </border>
    <border>
      <left/>
      <right style="thin">
        <color rgb="FF6E58FF"/>
      </right>
      <top/>
      <bottom style="thin">
        <color rgb="FF6E58FF"/>
      </bottom>
      <diagonal/>
    </border>
    <border>
      <left style="thin">
        <color rgb="FFD8CCEE"/>
      </left>
      <right/>
      <top style="thin">
        <color rgb="FFD8CCEE"/>
      </top>
      <bottom style="thin">
        <color rgb="FFD8CCEE"/>
      </bottom>
      <diagonal/>
    </border>
    <border>
      <left/>
      <right/>
      <top style="thin">
        <color rgb="FFD8CCEE"/>
      </top>
      <bottom style="thin">
        <color rgb="FFD8CCEE"/>
      </bottom>
      <diagonal/>
    </border>
    <border>
      <left/>
      <right style="thin">
        <color rgb="FFD8CCEE"/>
      </right>
      <top style="thin">
        <color rgb="FFD8CCEE"/>
      </top>
      <bottom style="thin">
        <color rgb="FFD8CCEE"/>
      </bottom>
      <diagonal/>
    </border>
    <border>
      <left style="thin">
        <color rgb="FF8E4BFF"/>
      </left>
      <right style="thin">
        <color rgb="FF8E4BFF"/>
      </right>
      <top style="thin">
        <color rgb="FF8E4BFF"/>
      </top>
      <bottom style="thin">
        <color rgb="FF8E4BFF"/>
      </bottom>
      <diagonal/>
    </border>
    <border>
      <left style="thin">
        <color rgb="FFD8CCEE"/>
      </left>
      <right style="thin">
        <color rgb="FFD8CCEE"/>
      </right>
      <top style="thin">
        <color rgb="FFD8CCEE"/>
      </top>
      <bottom style="thin">
        <color rgb="FFD8CCEE"/>
      </bottom>
      <diagonal/>
    </border>
    <border>
      <left style="thin">
        <color rgb="FFD8CCEE"/>
      </left>
      <right style="thin">
        <color rgb="FFD8CCEE"/>
      </right>
      <top style="double">
        <color rgb="FF8E4BFF"/>
      </top>
      <bottom style="thin">
        <color rgb="FFD8CCEE"/>
      </bottom>
      <diagonal/>
    </border>
    <border>
      <left style="medium">
        <color rgb="FF8E4BFF"/>
      </left>
      <right/>
      <top style="medium">
        <color rgb="FF8E4BFF"/>
      </top>
      <bottom/>
      <diagonal/>
    </border>
    <border>
      <left/>
      <right style="medium">
        <color rgb="FF8E4BFF"/>
      </right>
      <top style="medium">
        <color rgb="FF8E4BFF"/>
      </top>
      <bottom/>
      <diagonal/>
    </border>
    <border>
      <left style="medium">
        <color rgb="FF8E4BFF"/>
      </left>
      <right/>
      <top/>
      <bottom style="medium">
        <color rgb="FF8E4BFF"/>
      </bottom>
      <diagonal/>
    </border>
    <border>
      <left/>
      <right/>
      <top/>
      <bottom style="medium">
        <color rgb="FF8E4BFF"/>
      </bottom>
      <diagonal/>
    </border>
    <border>
      <left/>
      <right style="medium">
        <color rgb="FF8E4BFF"/>
      </right>
      <top/>
      <bottom style="medium">
        <color rgb="FF8E4BFF"/>
      </bottom>
      <diagonal/>
    </border>
    <border>
      <left style="thin">
        <color rgb="FFD8CCEE"/>
      </left>
      <right/>
      <top style="thin">
        <color rgb="FFD8CCEE"/>
      </top>
      <bottom/>
      <diagonal/>
    </border>
    <border>
      <left/>
      <right/>
      <top style="thin">
        <color rgb="FFD8CCEE"/>
      </top>
      <bottom/>
      <diagonal/>
    </border>
    <border>
      <left/>
      <right style="thin">
        <color rgb="FFD8CCEE"/>
      </right>
      <top style="thin">
        <color rgb="FFD8CCEE"/>
      </top>
      <bottom/>
      <diagonal/>
    </border>
    <border>
      <left style="thin">
        <color rgb="FFD8CCEE"/>
      </left>
      <right/>
      <top/>
      <bottom/>
      <diagonal/>
    </border>
    <border>
      <left/>
      <right style="thin">
        <color rgb="FFD8CCEE"/>
      </right>
      <top/>
      <bottom/>
      <diagonal/>
    </border>
    <border>
      <left style="thin">
        <color rgb="FFD8CCEE"/>
      </left>
      <right/>
      <top/>
      <bottom style="thin">
        <color rgb="FFD8CCEE"/>
      </bottom>
      <diagonal/>
    </border>
    <border>
      <left/>
      <right style="thin">
        <color rgb="FFD8CCEE"/>
      </right>
      <top/>
      <bottom style="thin">
        <color rgb="FFD8CCEE"/>
      </bottom>
      <diagonal/>
    </border>
  </borders>
  <cellStyleXfs count="1">
    <xf numFmtId="0" fontId="0" fillId="0" borderId="0"/>
  </cellStyleXfs>
  <cellXfs count="210">
    <xf numFmtId="0" fontId="0" fillId="0" borderId="0" xfId="0"/>
    <xf numFmtId="0" fontId="5" fillId="5" borderId="0" xfId="0" applyFont="1" applyFill="1" applyAlignment="1">
      <alignment horizontal="left" vertical="center"/>
    </xf>
    <xf numFmtId="0" fontId="3" fillId="5" borderId="0" xfId="0" applyFont="1" applyFill="1" applyAlignment="1">
      <alignment horizontal="left" vertical="center"/>
    </xf>
    <xf numFmtId="0" fontId="3" fillId="6" borderId="1" xfId="0" applyFont="1" applyFill="1" applyBorder="1" applyAlignment="1">
      <alignment horizontal="left" vertical="center"/>
    </xf>
    <xf numFmtId="0" fontId="6" fillId="0" borderId="0" xfId="0" applyFont="1" applyAlignment="1">
      <alignment horizontal="left" vertical="center"/>
    </xf>
    <xf numFmtId="14" fontId="3" fillId="6" borderId="1" xfId="0" applyNumberFormat="1" applyFont="1" applyFill="1" applyBorder="1" applyAlignment="1">
      <alignment horizontal="center" vertical="center"/>
    </xf>
    <xf numFmtId="3" fontId="3" fillId="6" borderId="1" xfId="0" applyNumberFormat="1" applyFont="1" applyFill="1" applyBorder="1" applyAlignment="1">
      <alignment horizontal="right" vertical="center"/>
    </xf>
    <xf numFmtId="9" fontId="3" fillId="6" borderId="1" xfId="0" applyNumberFormat="1" applyFont="1" applyFill="1" applyBorder="1" applyAlignment="1">
      <alignment horizontal="center" vertical="center"/>
    </xf>
    <xf numFmtId="0" fontId="8" fillId="4" borderId="0" xfId="0" applyFont="1" applyFill="1" applyAlignment="1">
      <alignment horizontal="left" vertical="center"/>
    </xf>
    <xf numFmtId="0" fontId="3" fillId="4" borderId="0" xfId="0" applyFont="1" applyFill="1" applyAlignment="1">
      <alignment horizontal="left" vertical="center"/>
    </xf>
    <xf numFmtId="0" fontId="9" fillId="8" borderId="0" xfId="0" applyFont="1" applyFill="1" applyAlignment="1">
      <alignment horizontal="left" vertical="center" wrapText="1"/>
    </xf>
    <xf numFmtId="0" fontId="8" fillId="4" borderId="0" xfId="0" applyFont="1" applyFill="1" applyAlignment="1">
      <alignment horizontal="center" vertical="center"/>
    </xf>
    <xf numFmtId="0" fontId="8" fillId="9" borderId="0" xfId="0" applyFont="1" applyFill="1" applyAlignment="1">
      <alignment horizontal="center" vertical="center"/>
    </xf>
    <xf numFmtId="0" fontId="8" fillId="10" borderId="0" xfId="0" applyFont="1" applyFill="1" applyAlignment="1">
      <alignment horizontal="center" vertical="center"/>
    </xf>
    <xf numFmtId="0" fontId="8" fillId="2" borderId="0" xfId="0" applyFont="1" applyFill="1" applyAlignment="1">
      <alignment horizontal="center" vertical="center"/>
    </xf>
    <xf numFmtId="49" fontId="3" fillId="6" borderId="1" xfId="0" applyNumberFormat="1" applyFont="1" applyFill="1" applyBorder="1" applyAlignment="1">
      <alignment horizontal="left" vertical="center"/>
    </xf>
    <xf numFmtId="4" fontId="3" fillId="6" borderId="1" xfId="0" applyNumberFormat="1" applyFont="1" applyFill="1" applyBorder="1" applyAlignment="1">
      <alignment horizontal="right" vertical="center"/>
    </xf>
    <xf numFmtId="4" fontId="12" fillId="8" borderId="0" xfId="0" applyNumberFormat="1" applyFont="1" applyFill="1" applyAlignment="1">
      <alignment horizontal="right" vertical="center"/>
    </xf>
    <xf numFmtId="4" fontId="12" fillId="11" borderId="0" xfId="0" applyNumberFormat="1" applyFont="1" applyFill="1" applyAlignment="1">
      <alignment horizontal="right" vertical="center"/>
    </xf>
    <xf numFmtId="0" fontId="13" fillId="2" borderId="0" xfId="0" applyFont="1" applyFill="1" applyAlignment="1">
      <alignment horizontal="center" vertical="center"/>
    </xf>
    <xf numFmtId="0" fontId="3" fillId="2" borderId="0" xfId="0" applyFont="1" applyFill="1" applyAlignment="1">
      <alignment horizontal="left" vertical="center"/>
    </xf>
    <xf numFmtId="4" fontId="8" fillId="2" borderId="0" xfId="0" applyNumberFormat="1" applyFont="1" applyFill="1" applyAlignment="1">
      <alignment horizontal="right" vertical="center"/>
    </xf>
    <xf numFmtId="0" fontId="14" fillId="5" borderId="0" xfId="0" applyFont="1" applyFill="1" applyAlignment="1">
      <alignment horizontal="left" vertical="center"/>
    </xf>
    <xf numFmtId="0" fontId="6" fillId="5" borderId="0" xfId="0" applyFont="1" applyFill="1" applyAlignment="1">
      <alignment horizontal="left" vertical="center"/>
    </xf>
    <xf numFmtId="0" fontId="3" fillId="8" borderId="0" xfId="0" applyFont="1" applyFill="1" applyAlignment="1">
      <alignment horizontal="left" vertical="center"/>
    </xf>
    <xf numFmtId="0" fontId="10" fillId="0" borderId="0" xfId="0" applyFont="1" applyAlignment="1">
      <alignment horizontal="left" vertical="center"/>
    </xf>
    <xf numFmtId="164" fontId="9" fillId="0" borderId="0" xfId="0" applyNumberFormat="1" applyFont="1" applyAlignment="1">
      <alignment horizontal="left" vertical="center"/>
    </xf>
    <xf numFmtId="0" fontId="15" fillId="5" borderId="0" xfId="0" applyFont="1" applyFill="1" applyAlignment="1">
      <alignment horizontal="left" vertical="center"/>
    </xf>
    <xf numFmtId="14" fontId="12" fillId="5" borderId="0" xfId="0" applyNumberFormat="1" applyFont="1" applyFill="1" applyAlignment="1">
      <alignment horizontal="center" vertical="center"/>
    </xf>
    <xf numFmtId="3" fontId="12" fillId="5" borderId="0" xfId="0" applyNumberFormat="1" applyFont="1" applyFill="1" applyAlignment="1">
      <alignment horizontal="right" vertical="center"/>
    </xf>
    <xf numFmtId="9" fontId="12" fillId="5" borderId="0" xfId="0" applyNumberFormat="1" applyFont="1" applyFill="1" applyAlignment="1">
      <alignment horizontal="center" vertical="center"/>
    </xf>
    <xf numFmtId="165" fontId="9" fillId="0" borderId="0" xfId="0" applyNumberFormat="1" applyFont="1" applyAlignment="1">
      <alignment horizontal="left" vertical="center"/>
    </xf>
    <xf numFmtId="3" fontId="9" fillId="0" borderId="0" xfId="0" applyNumberFormat="1" applyFont="1" applyAlignment="1">
      <alignment horizontal="left" vertical="center"/>
    </xf>
    <xf numFmtId="0" fontId="18" fillId="10" borderId="0" xfId="0" applyFont="1" applyFill="1" applyAlignment="1">
      <alignment horizontal="center" vertical="center"/>
    </xf>
    <xf numFmtId="0" fontId="3" fillId="6" borderId="1" xfId="0" applyFont="1" applyFill="1" applyBorder="1" applyAlignment="1">
      <alignment horizontal="center" vertical="center"/>
    </xf>
    <xf numFmtId="1" fontId="12" fillId="8" borderId="0" xfId="0" applyNumberFormat="1" applyFont="1" applyFill="1" applyAlignment="1">
      <alignment horizontal="right" vertical="center"/>
    </xf>
    <xf numFmtId="1" fontId="12" fillId="11" borderId="0" xfId="0" applyNumberFormat="1" applyFont="1" applyFill="1" applyAlignment="1">
      <alignment horizontal="right" vertical="center"/>
    </xf>
    <xf numFmtId="0" fontId="13" fillId="2" borderId="0" xfId="0" applyFont="1" applyFill="1" applyAlignment="1">
      <alignment horizontal="left" vertical="center"/>
    </xf>
    <xf numFmtId="3" fontId="8" fillId="2" borderId="0" xfId="0" applyNumberFormat="1" applyFont="1" applyFill="1" applyAlignment="1">
      <alignment horizontal="right" vertical="center"/>
    </xf>
    <xf numFmtId="1" fontId="3" fillId="6" borderId="1" xfId="0" applyNumberFormat="1" applyFont="1" applyFill="1" applyBorder="1" applyAlignment="1">
      <alignment horizontal="center" vertical="center"/>
    </xf>
    <xf numFmtId="14" fontId="12" fillId="8" borderId="0" xfId="0" applyNumberFormat="1" applyFont="1" applyFill="1" applyAlignment="1">
      <alignment horizontal="center" vertical="center"/>
    </xf>
    <xf numFmtId="14" fontId="12" fillId="11" borderId="0" xfId="0" applyNumberFormat="1" applyFont="1" applyFill="1" applyAlignment="1">
      <alignment horizontal="center" vertical="center"/>
    </xf>
    <xf numFmtId="0" fontId="18" fillId="4" borderId="0" xfId="0" applyFont="1" applyFill="1" applyAlignment="1">
      <alignment horizontal="center" vertical="center" wrapText="1"/>
    </xf>
    <xf numFmtId="3" fontId="12" fillId="8" borderId="0" xfId="0" applyNumberFormat="1" applyFont="1" applyFill="1" applyAlignment="1">
      <alignment horizontal="right" vertical="center"/>
    </xf>
    <xf numFmtId="164" fontId="12" fillId="8" borderId="0" xfId="0" applyNumberFormat="1" applyFont="1" applyFill="1" applyAlignment="1">
      <alignment horizontal="center" vertical="center"/>
    </xf>
    <xf numFmtId="164" fontId="19" fillId="8" borderId="0" xfId="0" applyNumberFormat="1" applyFont="1" applyFill="1" applyAlignment="1">
      <alignment horizontal="center" vertical="center"/>
    </xf>
    <xf numFmtId="3" fontId="12" fillId="11" borderId="0" xfId="0" applyNumberFormat="1" applyFont="1" applyFill="1" applyAlignment="1">
      <alignment horizontal="right" vertical="center"/>
    </xf>
    <xf numFmtId="164" fontId="12" fillId="11" borderId="0" xfId="0" applyNumberFormat="1" applyFont="1" applyFill="1" applyAlignment="1">
      <alignment horizontal="center" vertical="center"/>
    </xf>
    <xf numFmtId="164" fontId="19" fillId="11" borderId="0" xfId="0" applyNumberFormat="1" applyFont="1" applyFill="1" applyAlignment="1">
      <alignment horizontal="center" vertical="center"/>
    </xf>
    <xf numFmtId="0" fontId="6" fillId="6" borderId="1" xfId="0" applyFont="1" applyFill="1" applyBorder="1" applyAlignment="1">
      <alignment horizontal="left" vertical="center"/>
    </xf>
    <xf numFmtId="0" fontId="20" fillId="2" borderId="0" xfId="0" applyFont="1" applyFill="1" applyAlignment="1">
      <alignment horizontal="left" vertical="center"/>
    </xf>
    <xf numFmtId="164" fontId="5" fillId="3" borderId="0" xfId="0" applyNumberFormat="1" applyFont="1" applyFill="1" applyAlignment="1">
      <alignment horizontal="center" vertical="center"/>
    </xf>
    <xf numFmtId="0" fontId="5" fillId="6" borderId="1" xfId="0" applyFont="1" applyFill="1" applyBorder="1" applyAlignment="1">
      <alignment horizontal="center" vertical="center"/>
    </xf>
    <xf numFmtId="0" fontId="3" fillId="10" borderId="0" xfId="0" applyFont="1" applyFill="1" applyAlignment="1">
      <alignment horizontal="left" vertical="center"/>
    </xf>
    <xf numFmtId="0" fontId="9" fillId="8" borderId="0" xfId="0" applyFont="1" applyFill="1" applyAlignment="1">
      <alignment horizontal="left" vertical="center"/>
    </xf>
    <xf numFmtId="0" fontId="9" fillId="8" borderId="0" xfId="0" applyFont="1" applyFill="1" applyAlignment="1">
      <alignment horizontal="center" vertical="center"/>
    </xf>
    <xf numFmtId="0" fontId="9" fillId="11" borderId="0" xfId="0" applyFont="1" applyFill="1" applyAlignment="1">
      <alignment horizontal="left" vertical="center"/>
    </xf>
    <xf numFmtId="0" fontId="9" fillId="11" borderId="0" xfId="0" applyFont="1" applyFill="1" applyAlignment="1">
      <alignment horizontal="center" vertical="center"/>
    </xf>
    <xf numFmtId="0" fontId="3" fillId="11" borderId="0" xfId="0" applyFont="1" applyFill="1" applyAlignment="1">
      <alignment horizontal="left" vertical="center"/>
    </xf>
    <xf numFmtId="0" fontId="9" fillId="5" borderId="0" xfId="0" applyFont="1" applyFill="1" applyAlignment="1">
      <alignment horizontal="left" vertical="center"/>
    </xf>
    <xf numFmtId="0" fontId="31" fillId="5" borderId="0" xfId="0" applyFont="1" applyFill="1" applyAlignment="1">
      <alignment horizontal="left" vertical="top"/>
    </xf>
    <xf numFmtId="0" fontId="32" fillId="0" borderId="0" xfId="0" applyFont="1" applyAlignment="1">
      <alignment vertical="center"/>
    </xf>
    <xf numFmtId="0" fontId="8" fillId="16" borderId="44" xfId="0" applyFont="1" applyFill="1" applyBorder="1" applyAlignment="1">
      <alignment horizontal="center" vertical="center" wrapText="1"/>
    </xf>
    <xf numFmtId="0" fontId="18" fillId="16" borderId="43" xfId="0" applyFont="1" applyFill="1" applyBorder="1" applyAlignment="1">
      <alignment horizontal="center" vertical="center" wrapText="1"/>
    </xf>
    <xf numFmtId="0" fontId="44" fillId="14" borderId="6" xfId="0" applyFont="1" applyFill="1" applyBorder="1" applyAlignment="1">
      <alignment vertical="center" wrapText="1"/>
    </xf>
    <xf numFmtId="14" fontId="43" fillId="14" borderId="6" xfId="0" applyNumberFormat="1" applyFont="1" applyFill="1" applyBorder="1" applyAlignment="1">
      <alignment vertical="center" wrapText="1"/>
    </xf>
    <xf numFmtId="170" fontId="43" fillId="14" borderId="6" xfId="0" applyNumberFormat="1" applyFont="1" applyFill="1" applyBorder="1" applyAlignment="1">
      <alignment vertical="center" wrapText="1"/>
    </xf>
    <xf numFmtId="0" fontId="44" fillId="14" borderId="41" xfId="0" applyFont="1" applyFill="1" applyBorder="1" applyAlignment="1">
      <alignment vertical="center" wrapText="1"/>
    </xf>
    <xf numFmtId="14" fontId="43" fillId="14" borderId="41" xfId="0" applyNumberFormat="1" applyFont="1" applyFill="1" applyBorder="1" applyAlignment="1">
      <alignment vertical="center" wrapText="1"/>
    </xf>
    <xf numFmtId="170" fontId="43" fillId="14" borderId="41" xfId="0" applyNumberFormat="1" applyFont="1" applyFill="1" applyBorder="1" applyAlignment="1">
      <alignment vertical="center" wrapText="1"/>
    </xf>
    <xf numFmtId="0" fontId="32" fillId="0" borderId="0" xfId="0" applyFont="1" applyAlignment="1">
      <alignment vertical="center" wrapText="1"/>
    </xf>
    <xf numFmtId="0" fontId="32" fillId="14" borderId="44" xfId="0" applyFont="1" applyFill="1" applyBorder="1" applyAlignment="1">
      <alignment vertical="center" wrapText="1"/>
    </xf>
    <xf numFmtId="170" fontId="32" fillId="14" borderId="44" xfId="0" applyNumberFormat="1" applyFont="1" applyFill="1" applyBorder="1" applyAlignment="1">
      <alignment vertical="center" wrapText="1"/>
    </xf>
    <xf numFmtId="173" fontId="32" fillId="14" borderId="44" xfId="0" applyNumberFormat="1" applyFont="1" applyFill="1" applyBorder="1" applyAlignment="1">
      <alignment vertical="center" wrapText="1"/>
    </xf>
    <xf numFmtId="3" fontId="32" fillId="14" borderId="44" xfId="0" applyNumberFormat="1" applyFont="1" applyFill="1" applyBorder="1" applyAlignment="1">
      <alignment vertical="center" wrapText="1"/>
    </xf>
    <xf numFmtId="0" fontId="32" fillId="13" borderId="44" xfId="0" applyFont="1" applyFill="1" applyBorder="1" applyAlignment="1">
      <alignment vertical="center" wrapText="1"/>
    </xf>
    <xf numFmtId="170" fontId="32" fillId="13" borderId="44" xfId="0" applyNumberFormat="1" applyFont="1" applyFill="1" applyBorder="1" applyAlignment="1">
      <alignment vertical="center" wrapText="1"/>
    </xf>
    <xf numFmtId="3" fontId="32" fillId="13" borderId="44" xfId="0" applyNumberFormat="1" applyFont="1" applyFill="1" applyBorder="1" applyAlignment="1">
      <alignment vertical="center" wrapText="1"/>
    </xf>
    <xf numFmtId="172" fontId="32" fillId="13" borderId="44" xfId="0" applyNumberFormat="1" applyFont="1" applyFill="1" applyBorder="1" applyAlignment="1">
      <alignment vertical="center" wrapText="1"/>
    </xf>
    <xf numFmtId="172" fontId="32" fillId="14" borderId="44" xfId="0" applyNumberFormat="1" applyFont="1" applyFill="1" applyBorder="1" applyAlignment="1">
      <alignment vertical="center" wrapText="1"/>
    </xf>
    <xf numFmtId="0" fontId="45" fillId="17" borderId="45" xfId="0" applyFont="1" applyFill="1" applyBorder="1" applyAlignment="1">
      <alignment vertical="center" wrapText="1"/>
    </xf>
    <xf numFmtId="170" fontId="45" fillId="17" borderId="45" xfId="0" applyNumberFormat="1" applyFont="1" applyFill="1" applyBorder="1" applyAlignment="1">
      <alignment vertical="center" wrapText="1"/>
    </xf>
    <xf numFmtId="0" fontId="2" fillId="2" borderId="0" xfId="0" applyFont="1" applyFill="1" applyAlignment="1">
      <alignment horizontal="left" vertical="center" wrapText="1"/>
    </xf>
    <xf numFmtId="0" fontId="0" fillId="0" borderId="0" xfId="0"/>
    <xf numFmtId="0" fontId="1" fillId="2" borderId="0" xfId="0" applyFont="1" applyFill="1" applyAlignment="1">
      <alignment horizontal="left" vertical="center" wrapText="1"/>
    </xf>
    <xf numFmtId="0" fontId="9" fillId="8" borderId="0" xfId="0" applyFont="1" applyFill="1" applyAlignment="1">
      <alignment horizontal="left" vertical="center" wrapText="1"/>
    </xf>
    <xf numFmtId="0" fontId="4" fillId="4" borderId="0" xfId="0" applyFont="1" applyFill="1" applyAlignment="1">
      <alignment horizontal="left" vertical="center" wrapText="1"/>
    </xf>
    <xf numFmtId="0" fontId="10" fillId="0" borderId="0" xfId="0" applyFont="1" applyAlignment="1">
      <alignment horizontal="left" vertical="center" wrapText="1"/>
    </xf>
    <xf numFmtId="0" fontId="3" fillId="3" borderId="0" xfId="0" applyFont="1" applyFill="1" applyAlignment="1">
      <alignment horizontal="center" vertical="center" wrapText="1"/>
    </xf>
    <xf numFmtId="0" fontId="7" fillId="7" borderId="0" xfId="0" applyFont="1" applyFill="1" applyAlignment="1">
      <alignment horizontal="left" vertical="center" wrapText="1"/>
    </xf>
    <xf numFmtId="0" fontId="11" fillId="2" borderId="0" xfId="0" applyFont="1" applyFill="1" applyAlignment="1">
      <alignment horizontal="left" vertical="center" wrapText="1"/>
    </xf>
    <xf numFmtId="164" fontId="17" fillId="11" borderId="2" xfId="0" applyNumberFormat="1" applyFont="1" applyFill="1" applyBorder="1" applyAlignment="1">
      <alignment horizontal="center" vertical="center" wrapText="1"/>
    </xf>
    <xf numFmtId="165" fontId="17" fillId="11" borderId="2" xfId="0" applyNumberFormat="1" applyFont="1" applyFill="1" applyBorder="1" applyAlignment="1">
      <alignment horizontal="center" vertical="center" wrapText="1"/>
    </xf>
    <xf numFmtId="0" fontId="16" fillId="4" borderId="0" xfId="0" applyFont="1" applyFill="1" applyAlignment="1">
      <alignment horizontal="center" vertical="center" wrapText="1"/>
    </xf>
    <xf numFmtId="0" fontId="10" fillId="8" borderId="0" xfId="0" applyFont="1" applyFill="1" applyAlignment="1">
      <alignment horizontal="center" vertical="center" wrapText="1"/>
    </xf>
    <xf numFmtId="166" fontId="17" fillId="11" borderId="2" xfId="0" applyNumberFormat="1" applyFont="1" applyFill="1" applyBorder="1" applyAlignment="1">
      <alignment horizontal="center" vertical="center" wrapText="1"/>
    </xf>
    <xf numFmtId="3" fontId="12" fillId="5" borderId="0" xfId="0" applyNumberFormat="1" applyFont="1" applyFill="1" applyAlignment="1">
      <alignment horizontal="right" vertical="center" wrapText="1"/>
    </xf>
    <xf numFmtId="164" fontId="22" fillId="11" borderId="2" xfId="0" applyNumberFormat="1" applyFont="1" applyFill="1" applyBorder="1" applyAlignment="1">
      <alignment horizontal="center" vertical="center" wrapText="1"/>
    </xf>
    <xf numFmtId="0" fontId="21" fillId="4" borderId="0" xfId="0" applyFont="1" applyFill="1" applyAlignment="1">
      <alignment horizontal="center" vertical="center" wrapText="1"/>
    </xf>
    <xf numFmtId="0" fontId="29" fillId="2" borderId="0" xfId="0" applyFont="1" applyFill="1" applyAlignment="1">
      <alignment horizontal="left" vertical="center" wrapText="1"/>
    </xf>
    <xf numFmtId="167" fontId="25" fillId="11" borderId="4" xfId="0" applyNumberFormat="1" applyFont="1" applyFill="1" applyBorder="1" applyAlignment="1">
      <alignment horizontal="center" vertical="center" wrapText="1"/>
    </xf>
    <xf numFmtId="0" fontId="3" fillId="8" borderId="0" xfId="0" applyFont="1" applyFill="1" applyAlignment="1">
      <alignment horizontal="left" vertical="center" wrapText="1"/>
    </xf>
    <xf numFmtId="0" fontId="23" fillId="2" borderId="0" xfId="0" applyFont="1" applyFill="1" applyAlignment="1">
      <alignment horizontal="left" vertical="center" wrapText="1"/>
    </xf>
    <xf numFmtId="0" fontId="19" fillId="11" borderId="0" xfId="0" applyFont="1" applyFill="1" applyAlignment="1">
      <alignment horizontal="center" vertical="center" wrapText="1"/>
    </xf>
    <xf numFmtId="0" fontId="18" fillId="4" borderId="0" xfId="0" applyFont="1" applyFill="1" applyAlignment="1">
      <alignment horizontal="left" vertical="center" wrapText="1"/>
    </xf>
    <xf numFmtId="167" fontId="28" fillId="11" borderId="2" xfId="0" applyNumberFormat="1" applyFont="1" applyFill="1" applyBorder="1" applyAlignment="1">
      <alignment horizontal="center" vertical="center" wrapText="1"/>
    </xf>
    <xf numFmtId="0" fontId="15" fillId="8" borderId="0" xfId="0" applyFont="1" applyFill="1" applyAlignment="1">
      <alignment horizontal="left" vertical="center" wrapText="1"/>
    </xf>
    <xf numFmtId="0" fontId="15" fillId="5" borderId="0" xfId="0" applyFont="1" applyFill="1" applyAlignment="1">
      <alignment horizontal="center" vertical="center" wrapText="1"/>
    </xf>
    <xf numFmtId="168" fontId="27" fillId="11" borderId="2" xfId="0" applyNumberFormat="1" applyFont="1" applyFill="1" applyBorder="1" applyAlignment="1">
      <alignment horizontal="center" vertical="center" wrapText="1"/>
    </xf>
    <xf numFmtId="0" fontId="4" fillId="10" borderId="0" xfId="0" applyFont="1" applyFill="1" applyAlignment="1">
      <alignment horizontal="left" vertical="center" wrapText="1"/>
    </xf>
    <xf numFmtId="0" fontId="18" fillId="9" borderId="0" xfId="0" applyFont="1" applyFill="1" applyAlignment="1">
      <alignment horizontal="left" vertical="center" wrapText="1"/>
    </xf>
    <xf numFmtId="0" fontId="20" fillId="2" borderId="0" xfId="0" applyFont="1" applyFill="1" applyAlignment="1">
      <alignment horizontal="left" vertical="center" wrapText="1"/>
    </xf>
    <xf numFmtId="167" fontId="25" fillId="11" borderId="2" xfId="0" applyNumberFormat="1" applyFont="1" applyFill="1" applyBorder="1" applyAlignment="1">
      <alignment horizontal="center" vertical="center" wrapText="1"/>
    </xf>
    <xf numFmtId="0" fontId="18" fillId="10" borderId="0" xfId="0" applyFont="1" applyFill="1" applyAlignment="1">
      <alignment horizontal="left" vertical="center" wrapText="1"/>
    </xf>
    <xf numFmtId="0" fontId="26" fillId="11" borderId="0" xfId="0" applyFont="1" applyFill="1" applyAlignment="1">
      <alignment horizontal="center" vertical="center" wrapText="1"/>
    </xf>
    <xf numFmtId="0" fontId="5" fillId="11" borderId="1" xfId="0" applyFont="1" applyFill="1" applyBorder="1" applyAlignment="1">
      <alignment horizontal="left" vertical="center" wrapText="1"/>
    </xf>
    <xf numFmtId="14" fontId="24" fillId="2" borderId="0" xfId="0" applyNumberFormat="1" applyFont="1" applyFill="1" applyAlignment="1">
      <alignment horizontal="right" vertical="center" wrapText="1"/>
    </xf>
    <xf numFmtId="0" fontId="8" fillId="4" borderId="0" xfId="0" applyFont="1" applyFill="1" applyAlignment="1">
      <alignment horizontal="left" vertical="center" wrapText="1"/>
    </xf>
    <xf numFmtId="0" fontId="8" fillId="10" borderId="0" xfId="0" applyFont="1" applyFill="1" applyAlignment="1">
      <alignment horizontal="left" vertical="center" wrapText="1"/>
    </xf>
    <xf numFmtId="167" fontId="25" fillId="11" borderId="3" xfId="0" applyNumberFormat="1" applyFont="1" applyFill="1" applyBorder="1" applyAlignment="1">
      <alignment horizontal="center" vertical="center" wrapText="1"/>
    </xf>
    <xf numFmtId="0" fontId="10" fillId="11" borderId="0" xfId="0" applyFont="1" applyFill="1" applyAlignment="1">
      <alignment horizontal="center" vertical="center" wrapText="1"/>
    </xf>
    <xf numFmtId="0" fontId="5" fillId="3" borderId="0" xfId="0" applyFont="1" applyFill="1" applyAlignment="1">
      <alignment horizontal="left" vertical="center" wrapText="1"/>
    </xf>
    <xf numFmtId="169" fontId="27" fillId="11" borderId="3" xfId="0" applyNumberFormat="1" applyFont="1" applyFill="1" applyBorder="1" applyAlignment="1">
      <alignment horizontal="center" vertical="center" wrapText="1"/>
    </xf>
    <xf numFmtId="0" fontId="30" fillId="2" borderId="0" xfId="0" applyFont="1" applyFill="1" applyAlignment="1">
      <alignment horizontal="left" vertical="center" wrapText="1"/>
    </xf>
    <xf numFmtId="0" fontId="33" fillId="12" borderId="0" xfId="0" applyFont="1" applyFill="1" applyAlignment="1">
      <alignment horizontal="left" vertical="center"/>
    </xf>
    <xf numFmtId="0" fontId="33" fillId="12" borderId="5" xfId="0" applyFont="1" applyFill="1" applyBorder="1" applyAlignment="1">
      <alignment horizontal="left" vertical="center"/>
    </xf>
    <xf numFmtId="0" fontId="34" fillId="13" borderId="6" xfId="0" applyFont="1" applyFill="1" applyBorder="1" applyAlignment="1">
      <alignment vertical="center"/>
    </xf>
    <xf numFmtId="0" fontId="35" fillId="14" borderId="7" xfId="0" applyFont="1" applyFill="1" applyBorder="1" applyAlignment="1">
      <alignment vertical="center" wrapText="1"/>
    </xf>
    <xf numFmtId="0" fontId="4" fillId="15" borderId="8" xfId="0" applyFont="1" applyFill="1" applyBorder="1" applyAlignment="1">
      <alignment horizontal="left" vertical="center"/>
    </xf>
    <xf numFmtId="0" fontId="18" fillId="16" borderId="9" xfId="0" applyFont="1" applyFill="1" applyBorder="1" applyAlignment="1">
      <alignment horizontal="left" vertical="center"/>
    </xf>
    <xf numFmtId="0" fontId="18" fillId="16" borderId="10" xfId="0" applyFont="1" applyFill="1" applyBorder="1" applyAlignment="1">
      <alignment horizontal="left" vertical="center"/>
    </xf>
    <xf numFmtId="0" fontId="18" fillId="16" borderId="11" xfId="0" applyFont="1" applyFill="1" applyBorder="1" applyAlignment="1">
      <alignment horizontal="left" vertical="center"/>
    </xf>
    <xf numFmtId="170" fontId="36" fillId="14" borderId="12" xfId="0" applyNumberFormat="1" applyFont="1" applyFill="1" applyBorder="1" applyAlignment="1">
      <alignment horizontal="center" vertical="center"/>
    </xf>
    <xf numFmtId="170" fontId="36" fillId="14" borderId="0" xfId="0" applyNumberFormat="1" applyFont="1" applyFill="1" applyAlignment="1">
      <alignment horizontal="center" vertical="center"/>
    </xf>
    <xf numFmtId="170" fontId="36" fillId="14" borderId="13" xfId="0" applyNumberFormat="1" applyFont="1" applyFill="1" applyBorder="1" applyAlignment="1">
      <alignment horizontal="center" vertical="center"/>
    </xf>
    <xf numFmtId="0" fontId="37" fillId="13" borderId="14" xfId="0" applyFont="1" applyFill="1" applyBorder="1" applyAlignment="1">
      <alignment horizontal="left" vertical="center" wrapText="1"/>
    </xf>
    <xf numFmtId="0" fontId="37" fillId="13" borderId="7" xfId="0" applyFont="1" applyFill="1" applyBorder="1" applyAlignment="1">
      <alignment horizontal="left" vertical="center" wrapText="1"/>
    </xf>
    <xf numFmtId="0" fontId="37" fillId="13" borderId="15" xfId="0" applyFont="1" applyFill="1" applyBorder="1" applyAlignment="1">
      <alignment horizontal="left" vertical="center" wrapText="1"/>
    </xf>
    <xf numFmtId="0" fontId="18" fillId="16" borderId="16" xfId="0" applyFont="1" applyFill="1" applyBorder="1" applyAlignment="1">
      <alignment horizontal="left" vertical="center"/>
    </xf>
    <xf numFmtId="0" fontId="18" fillId="16" borderId="17" xfId="0" applyFont="1" applyFill="1" applyBorder="1" applyAlignment="1">
      <alignment horizontal="left" vertical="center"/>
    </xf>
    <xf numFmtId="0" fontId="18" fillId="16" borderId="18" xfId="0" applyFont="1" applyFill="1" applyBorder="1" applyAlignment="1">
      <alignment horizontal="left" vertical="center"/>
    </xf>
    <xf numFmtId="170" fontId="38" fillId="14" borderId="19" xfId="0" applyNumberFormat="1" applyFont="1" applyFill="1" applyBorder="1" applyAlignment="1">
      <alignment horizontal="center" vertical="center"/>
    </xf>
    <xf numFmtId="170" fontId="38" fillId="14" borderId="0" xfId="0" applyNumberFormat="1" applyFont="1" applyFill="1" applyAlignment="1">
      <alignment horizontal="center" vertical="center"/>
    </xf>
    <xf numFmtId="170" fontId="38" fillId="14" borderId="20" xfId="0" applyNumberFormat="1" applyFont="1" applyFill="1" applyBorder="1" applyAlignment="1">
      <alignment horizontal="center" vertical="center"/>
    </xf>
    <xf numFmtId="0" fontId="37" fillId="13" borderId="21" xfId="0" applyFont="1" applyFill="1" applyBorder="1" applyAlignment="1">
      <alignment horizontal="left" vertical="center" wrapText="1"/>
    </xf>
    <xf numFmtId="0" fontId="37" fillId="13" borderId="22" xfId="0" applyFont="1" applyFill="1" applyBorder="1" applyAlignment="1">
      <alignment horizontal="left" vertical="center" wrapText="1"/>
    </xf>
    <xf numFmtId="0" fontId="37" fillId="13" borderId="23" xfId="0" applyFont="1" applyFill="1" applyBorder="1" applyAlignment="1">
      <alignment horizontal="left" vertical="center" wrapText="1"/>
    </xf>
    <xf numFmtId="0" fontId="18" fillId="16" borderId="24" xfId="0" applyFont="1" applyFill="1" applyBorder="1" applyAlignment="1">
      <alignment horizontal="left" vertical="center"/>
    </xf>
    <xf numFmtId="0" fontId="18" fillId="16" borderId="25" xfId="0" applyFont="1" applyFill="1" applyBorder="1" applyAlignment="1">
      <alignment horizontal="left" vertical="center"/>
    </xf>
    <xf numFmtId="0" fontId="18" fillId="16" borderId="26" xfId="0" applyFont="1" applyFill="1" applyBorder="1" applyAlignment="1">
      <alignment horizontal="left" vertical="center"/>
    </xf>
    <xf numFmtId="171" fontId="39" fillId="14" borderId="27" xfId="0" applyNumberFormat="1" applyFont="1" applyFill="1" applyBorder="1" applyAlignment="1">
      <alignment horizontal="center" vertical="center"/>
    </xf>
    <xf numFmtId="171" fontId="39" fillId="14" borderId="0" xfId="0" applyNumberFormat="1" applyFont="1" applyFill="1" applyAlignment="1">
      <alignment horizontal="center" vertical="center"/>
    </xf>
    <xf numFmtId="171" fontId="39" fillId="14" borderId="28" xfId="0" applyNumberFormat="1" applyFont="1" applyFill="1" applyBorder="1" applyAlignment="1">
      <alignment horizontal="center" vertical="center"/>
    </xf>
    <xf numFmtId="0" fontId="37" fillId="13" borderId="29" xfId="0" applyFont="1" applyFill="1" applyBorder="1" applyAlignment="1">
      <alignment horizontal="left" vertical="center" wrapText="1"/>
    </xf>
    <xf numFmtId="0" fontId="37" fillId="13" borderId="30" xfId="0" applyFont="1" applyFill="1" applyBorder="1" applyAlignment="1">
      <alignment horizontal="left" vertical="center" wrapText="1"/>
    </xf>
    <xf numFmtId="0" fontId="37" fillId="13" borderId="31" xfId="0" applyFont="1" applyFill="1" applyBorder="1" applyAlignment="1">
      <alignment horizontal="left" vertical="center" wrapText="1"/>
    </xf>
    <xf numFmtId="0" fontId="18" fillId="16" borderId="32" xfId="0" applyFont="1" applyFill="1" applyBorder="1" applyAlignment="1">
      <alignment horizontal="left" vertical="center"/>
    </xf>
    <xf numFmtId="0" fontId="18" fillId="16" borderId="33" xfId="0" applyFont="1" applyFill="1" applyBorder="1" applyAlignment="1">
      <alignment horizontal="left" vertical="center"/>
    </xf>
    <xf numFmtId="0" fontId="18" fillId="16" borderId="34" xfId="0" applyFont="1" applyFill="1" applyBorder="1" applyAlignment="1">
      <alignment horizontal="left" vertical="center"/>
    </xf>
    <xf numFmtId="170" fontId="40" fillId="14" borderId="35" xfId="0" applyNumberFormat="1" applyFont="1" applyFill="1" applyBorder="1" applyAlignment="1">
      <alignment horizontal="center" vertical="center"/>
    </xf>
    <xf numFmtId="170" fontId="40" fillId="14" borderId="0" xfId="0" applyNumberFormat="1" applyFont="1" applyFill="1" applyAlignment="1">
      <alignment horizontal="center" vertical="center"/>
    </xf>
    <xf numFmtId="170" fontId="40" fillId="14" borderId="36" xfId="0" applyNumberFormat="1" applyFont="1" applyFill="1" applyBorder="1" applyAlignment="1">
      <alignment horizontal="center" vertical="center"/>
    </xf>
    <xf numFmtId="0" fontId="37" fillId="13" borderId="37" xfId="0" applyFont="1" applyFill="1" applyBorder="1" applyAlignment="1">
      <alignment horizontal="left" vertical="center" wrapText="1"/>
    </xf>
    <xf numFmtId="0" fontId="37" fillId="13" borderId="38" xfId="0" applyFont="1" applyFill="1" applyBorder="1" applyAlignment="1">
      <alignment horizontal="left" vertical="center" wrapText="1"/>
    </xf>
    <xf numFmtId="0" fontId="37" fillId="13" borderId="39" xfId="0" applyFont="1" applyFill="1" applyBorder="1" applyAlignment="1">
      <alignment horizontal="left" vertical="center" wrapText="1"/>
    </xf>
    <xf numFmtId="172" fontId="36" fillId="14" borderId="12" xfId="0" applyNumberFormat="1" applyFont="1" applyFill="1" applyBorder="1" applyAlignment="1">
      <alignment horizontal="center" vertical="center"/>
    </xf>
    <xf numFmtId="172" fontId="36" fillId="14" borderId="0" xfId="0" applyNumberFormat="1" applyFont="1" applyFill="1" applyAlignment="1">
      <alignment horizontal="center" vertical="center"/>
    </xf>
    <xf numFmtId="172" fontId="36" fillId="14" borderId="13" xfId="0" applyNumberFormat="1" applyFont="1" applyFill="1" applyBorder="1" applyAlignment="1">
      <alignment horizontal="center" vertical="center"/>
    </xf>
    <xf numFmtId="173" fontId="36" fillId="14" borderId="12" xfId="0" applyNumberFormat="1" applyFont="1" applyFill="1" applyBorder="1" applyAlignment="1">
      <alignment horizontal="center" vertical="center"/>
    </xf>
    <xf numFmtId="173" fontId="36" fillId="14" borderId="0" xfId="0" applyNumberFormat="1" applyFont="1" applyFill="1" applyAlignment="1">
      <alignment horizontal="center" vertical="center"/>
    </xf>
    <xf numFmtId="173" fontId="36" fillId="14" borderId="13" xfId="0" applyNumberFormat="1" applyFont="1" applyFill="1" applyBorder="1" applyAlignment="1">
      <alignment horizontal="center" vertical="center"/>
    </xf>
    <xf numFmtId="0" fontId="41" fillId="17" borderId="40" xfId="0" applyFont="1" applyFill="1" applyBorder="1" applyAlignment="1">
      <alignment horizontal="center" vertical="center"/>
    </xf>
    <xf numFmtId="0" fontId="41" fillId="17" borderId="41" xfId="0" applyFont="1" applyFill="1" applyBorder="1" applyAlignment="1">
      <alignment horizontal="center" vertical="center"/>
    </xf>
    <xf numFmtId="0" fontId="41" fillId="17" borderId="42" xfId="0" applyFont="1" applyFill="1" applyBorder="1" applyAlignment="1">
      <alignment horizontal="center" vertical="center"/>
    </xf>
    <xf numFmtId="172" fontId="42" fillId="14" borderId="40" xfId="0" applyNumberFormat="1" applyFont="1" applyFill="1" applyBorder="1" applyAlignment="1">
      <alignment horizontal="center" vertical="center"/>
    </xf>
    <xf numFmtId="172" fontId="42" fillId="14" borderId="41" xfId="0" applyNumberFormat="1" applyFont="1" applyFill="1" applyBorder="1" applyAlignment="1">
      <alignment horizontal="center" vertical="center"/>
    </xf>
    <xf numFmtId="172" fontId="42" fillId="14" borderId="42" xfId="0" applyNumberFormat="1" applyFont="1" applyFill="1" applyBorder="1" applyAlignment="1">
      <alignment horizontal="center" vertical="center"/>
    </xf>
    <xf numFmtId="173" fontId="39" fillId="14" borderId="27" xfId="0" applyNumberFormat="1" applyFont="1" applyFill="1" applyBorder="1" applyAlignment="1">
      <alignment horizontal="center" vertical="center"/>
    </xf>
    <xf numFmtId="173" fontId="39" fillId="14" borderId="0" xfId="0" applyNumberFormat="1" applyFont="1" applyFill="1" applyAlignment="1">
      <alignment horizontal="center" vertical="center"/>
    </xf>
    <xf numFmtId="173" fontId="39" fillId="14" borderId="28" xfId="0" applyNumberFormat="1" applyFont="1" applyFill="1" applyBorder="1" applyAlignment="1">
      <alignment horizontal="center" vertical="center"/>
    </xf>
    <xf numFmtId="0" fontId="4" fillId="18" borderId="8" xfId="0" applyFont="1" applyFill="1" applyBorder="1" applyAlignment="1">
      <alignment horizontal="left" vertical="center"/>
    </xf>
    <xf numFmtId="0" fontId="4" fillId="15" borderId="8" xfId="0" applyFont="1" applyFill="1" applyBorder="1" applyAlignment="1">
      <alignment horizontal="left" vertical="center" wrapText="1"/>
    </xf>
    <xf numFmtId="0" fontId="4" fillId="18" borderId="8" xfId="0" applyFont="1" applyFill="1" applyBorder="1" applyAlignment="1">
      <alignment horizontal="left" vertical="center" wrapText="1"/>
    </xf>
    <xf numFmtId="0" fontId="4" fillId="12" borderId="46" xfId="0" applyFont="1" applyFill="1" applyBorder="1" applyAlignment="1">
      <alignment horizontal="center" vertical="center"/>
    </xf>
    <xf numFmtId="0" fontId="4" fillId="12" borderId="17" xfId="0" applyFont="1" applyFill="1" applyBorder="1" applyAlignment="1">
      <alignment horizontal="center" vertical="center"/>
    </xf>
    <xf numFmtId="0" fontId="4" fillId="12" borderId="47" xfId="0" applyFont="1" applyFill="1" applyBorder="1" applyAlignment="1">
      <alignment horizontal="center" vertical="center"/>
    </xf>
    <xf numFmtId="0" fontId="4" fillId="12" borderId="48" xfId="0" applyFont="1" applyFill="1" applyBorder="1" applyAlignment="1">
      <alignment horizontal="center" vertical="center"/>
    </xf>
    <xf numFmtId="0" fontId="4" fillId="12" borderId="49" xfId="0" applyFont="1" applyFill="1" applyBorder="1" applyAlignment="1">
      <alignment horizontal="center" vertical="center"/>
    </xf>
    <xf numFmtId="0" fontId="4" fillId="12" borderId="50" xfId="0" applyFont="1" applyFill="1" applyBorder="1" applyAlignment="1">
      <alignment horizontal="center" vertical="center"/>
    </xf>
    <xf numFmtId="0" fontId="46" fillId="13" borderId="46" xfId="0" applyFont="1" applyFill="1" applyBorder="1" applyAlignment="1">
      <alignment horizontal="center" vertical="center" wrapText="1"/>
    </xf>
    <xf numFmtId="0" fontId="46" fillId="13" borderId="17" xfId="0" applyFont="1" applyFill="1" applyBorder="1" applyAlignment="1">
      <alignment horizontal="center" vertical="center" wrapText="1"/>
    </xf>
    <xf numFmtId="0" fontId="46" fillId="13" borderId="47" xfId="0" applyFont="1" applyFill="1" applyBorder="1" applyAlignment="1">
      <alignment horizontal="center" vertical="center" wrapText="1"/>
    </xf>
    <xf numFmtId="0" fontId="46" fillId="13" borderId="48" xfId="0" applyFont="1" applyFill="1" applyBorder="1" applyAlignment="1">
      <alignment horizontal="center" vertical="center" wrapText="1"/>
    </xf>
    <xf numFmtId="0" fontId="46" fillId="13" borderId="49" xfId="0" applyFont="1" applyFill="1" applyBorder="1" applyAlignment="1">
      <alignment horizontal="center" vertical="center" wrapText="1"/>
    </xf>
    <xf numFmtId="0" fontId="46" fillId="13" borderId="50" xfId="0" applyFont="1" applyFill="1" applyBorder="1" applyAlignment="1">
      <alignment horizontal="center" vertical="center" wrapText="1"/>
    </xf>
    <xf numFmtId="0" fontId="35" fillId="13" borderId="51" xfId="0" applyFont="1" applyFill="1" applyBorder="1" applyAlignment="1">
      <alignment horizontal="left" vertical="center" wrapText="1"/>
    </xf>
    <xf numFmtId="0" fontId="35" fillId="13" borderId="52" xfId="0" applyFont="1" applyFill="1" applyBorder="1" applyAlignment="1">
      <alignment horizontal="left" vertical="center" wrapText="1"/>
    </xf>
    <xf numFmtId="0" fontId="35" fillId="13" borderId="53" xfId="0" applyFont="1" applyFill="1" applyBorder="1" applyAlignment="1">
      <alignment horizontal="left" vertical="center" wrapText="1"/>
    </xf>
    <xf numFmtId="0" fontId="35" fillId="13" borderId="54" xfId="0" applyFont="1" applyFill="1" applyBorder="1" applyAlignment="1">
      <alignment horizontal="left" vertical="center" wrapText="1"/>
    </xf>
    <xf numFmtId="0" fontId="35" fillId="13" borderId="0" xfId="0" applyFont="1" applyFill="1" applyAlignment="1">
      <alignment horizontal="left" vertical="center" wrapText="1"/>
    </xf>
    <xf numFmtId="0" fontId="35" fillId="13" borderId="55" xfId="0" applyFont="1" applyFill="1" applyBorder="1" applyAlignment="1">
      <alignment horizontal="left" vertical="center" wrapText="1"/>
    </xf>
    <xf numFmtId="0" fontId="35" fillId="13" borderId="56" xfId="0" applyFont="1" applyFill="1" applyBorder="1" applyAlignment="1">
      <alignment horizontal="left" vertical="center" wrapText="1"/>
    </xf>
    <xf numFmtId="0" fontId="35" fillId="13" borderId="6" xfId="0" applyFont="1" applyFill="1" applyBorder="1" applyAlignment="1">
      <alignment horizontal="left" vertical="center" wrapText="1"/>
    </xf>
    <xf numFmtId="0" fontId="35" fillId="13" borderId="57" xfId="0" applyFont="1" applyFill="1" applyBorder="1" applyAlignment="1">
      <alignment horizontal="left" vertical="center" wrapText="1"/>
    </xf>
    <xf numFmtId="0" fontId="43" fillId="13" borderId="51" xfId="0" applyFont="1" applyFill="1" applyBorder="1" applyAlignment="1">
      <alignment horizontal="left" vertical="center" wrapText="1"/>
    </xf>
    <xf numFmtId="0" fontId="43" fillId="13" borderId="52" xfId="0" applyFont="1" applyFill="1" applyBorder="1" applyAlignment="1">
      <alignment horizontal="left" vertical="center" wrapText="1"/>
    </xf>
    <xf numFmtId="0" fontId="43" fillId="13" borderId="53" xfId="0" applyFont="1" applyFill="1" applyBorder="1" applyAlignment="1">
      <alignment horizontal="left" vertical="center" wrapText="1"/>
    </xf>
    <xf numFmtId="0" fontId="43" fillId="13" borderId="56" xfId="0" applyFont="1" applyFill="1" applyBorder="1" applyAlignment="1">
      <alignment horizontal="left" vertical="center" wrapText="1"/>
    </xf>
    <xf numFmtId="0" fontId="43" fillId="13" borderId="6" xfId="0" applyFont="1" applyFill="1" applyBorder="1" applyAlignment="1">
      <alignment horizontal="left" vertical="center" wrapText="1"/>
    </xf>
    <xf numFmtId="0" fontId="43" fillId="13" borderId="57" xfId="0" applyFont="1" applyFill="1" applyBorder="1" applyAlignment="1">
      <alignment horizontal="left" vertical="center" wrapText="1"/>
    </xf>
  </cellXfs>
  <cellStyles count="1">
    <cellStyle name="Normal" xfId="0" builtinId="0"/>
  </cellStyles>
  <dxfs count="6">
    <dxf>
      <font>
        <b/>
        <color rgb="FF168C75"/>
      </font>
      <fill>
        <patternFill patternType="solid">
          <bgColor rgb="FFE7F6F2"/>
        </patternFill>
      </fill>
    </dxf>
    <dxf>
      <font>
        <b/>
        <color rgb="FFC23B5A"/>
      </font>
      <fill>
        <patternFill patternType="solid">
          <bgColor rgb="FFFCE8ED"/>
        </patternFill>
      </fill>
    </dxf>
    <dxf>
      <font>
        <b/>
        <color rgb="FFD48A12"/>
      </font>
      <fill>
        <patternFill patternType="solid">
          <bgColor rgb="FFFFF4D9"/>
        </patternFill>
      </fill>
    </dxf>
    <dxf>
      <font>
        <b/>
        <color rgb="FFC23B5A"/>
      </font>
      <fill>
        <patternFill patternType="solid">
          <bgColor rgb="FFFCE8ED"/>
        </patternFill>
      </fill>
    </dxf>
    <dxf>
      <font>
        <b/>
        <color rgb="FF168C75"/>
      </font>
      <fill>
        <patternFill patternType="solid">
          <bgColor rgb="FFE7F6F2"/>
        </patternFill>
      </fill>
    </dxf>
    <dxf>
      <font>
        <b/>
        <color rgb="FFC23B5A"/>
      </font>
      <fill>
        <patternFill patternType="solid">
          <bgColor rgb="FFFCE8E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dcd92063d7ae4e1b"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sz="900"/>
              <a:t>Flux opérationnels prévisionnels — 13 semaines (DH)</a:t>
            </a:r>
          </a:p>
        </c:rich>
      </c:tx>
      <c:overlay val="0"/>
    </c:title>
    <c:autoTitleDeleted val="0"/>
    <c:plotArea>
      <c:layout/>
      <c:lineChart>
        <c:grouping val="standard"/>
        <c:varyColors val="0"/>
        <c:ser>
          <c:idx val="0"/>
          <c:order val="0"/>
          <c:tx>
            <c:v>Encaissements</c:v>
          </c:tx>
          <c:marker>
            <c:symbol val="none"/>
          </c:marker>
          <c:cat>
            <c:strRef>
              <c:f>'Cash Management'!$A$21:$A$33</c:f>
              <c:strCache>
                <c:ptCount val="13"/>
                <c:pt idx="0">
                  <c:v>S1</c:v>
                </c:pt>
                <c:pt idx="1">
                  <c:v>S2</c:v>
                </c:pt>
                <c:pt idx="2">
                  <c:v>S3</c:v>
                </c:pt>
                <c:pt idx="3">
                  <c:v>S4</c:v>
                </c:pt>
                <c:pt idx="4">
                  <c:v>S5</c:v>
                </c:pt>
                <c:pt idx="5">
                  <c:v>S6</c:v>
                </c:pt>
                <c:pt idx="6">
                  <c:v>S7</c:v>
                </c:pt>
                <c:pt idx="7">
                  <c:v>S8</c:v>
                </c:pt>
                <c:pt idx="8">
                  <c:v>S9</c:v>
                </c:pt>
                <c:pt idx="9">
                  <c:v>S10</c:v>
                </c:pt>
                <c:pt idx="10">
                  <c:v>S11</c:v>
                </c:pt>
                <c:pt idx="11">
                  <c:v>S12</c:v>
                </c:pt>
                <c:pt idx="12">
                  <c:v>S13</c:v>
                </c:pt>
              </c:strCache>
            </c:strRef>
          </c:cat>
          <c:val>
            <c:numRef>
              <c:f>'Cash Management'!$D$21:$D$33</c:f>
              <c:numCache>
                <c:formatCode>#\ ##0\ "DH";[Red]\(#\ ##0\ "DH"\);\-</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B437-4705-8E65-441421B87D1B}"/>
            </c:ext>
          </c:extLst>
        </c:ser>
        <c:ser>
          <c:idx val="1"/>
          <c:order val="1"/>
          <c:tx>
            <c:v>Décaissements</c:v>
          </c:tx>
          <c:marker>
            <c:symbol val="none"/>
          </c:marker>
          <c:cat>
            <c:strRef>
              <c:f>'Cash Management'!$A$21:$A$33</c:f>
              <c:strCache>
                <c:ptCount val="13"/>
                <c:pt idx="0">
                  <c:v>S1</c:v>
                </c:pt>
                <c:pt idx="1">
                  <c:v>S2</c:v>
                </c:pt>
                <c:pt idx="2">
                  <c:v>S3</c:v>
                </c:pt>
                <c:pt idx="3">
                  <c:v>S4</c:v>
                </c:pt>
                <c:pt idx="4">
                  <c:v>S5</c:v>
                </c:pt>
                <c:pt idx="5">
                  <c:v>S6</c:v>
                </c:pt>
                <c:pt idx="6">
                  <c:v>S7</c:v>
                </c:pt>
                <c:pt idx="7">
                  <c:v>S8</c:v>
                </c:pt>
                <c:pt idx="8">
                  <c:v>S9</c:v>
                </c:pt>
                <c:pt idx="9">
                  <c:v>S10</c:v>
                </c:pt>
                <c:pt idx="10">
                  <c:v>S11</c:v>
                </c:pt>
                <c:pt idx="11">
                  <c:v>S12</c:v>
                </c:pt>
                <c:pt idx="12">
                  <c:v>S13</c:v>
                </c:pt>
              </c:strCache>
            </c:strRef>
          </c:cat>
          <c:val>
            <c:numRef>
              <c:f>'Cash Management'!$E$21:$E$33</c:f>
              <c:numCache>
                <c:formatCode>#\ ##0\ "DH";[Red]\(#\ ##0\ "DH"\);\-</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1-B437-4705-8E65-441421B87D1B}"/>
            </c:ext>
          </c:extLst>
        </c:ser>
        <c:ser>
          <c:idx val="2"/>
          <c:order val="2"/>
          <c:tx>
            <c:v>Cash net</c:v>
          </c:tx>
          <c:marker>
            <c:symbol val="none"/>
          </c:marker>
          <c:cat>
            <c:strRef>
              <c:f>'Cash Management'!$A$21:$A$33</c:f>
              <c:strCache>
                <c:ptCount val="13"/>
                <c:pt idx="0">
                  <c:v>S1</c:v>
                </c:pt>
                <c:pt idx="1">
                  <c:v>S2</c:v>
                </c:pt>
                <c:pt idx="2">
                  <c:v>S3</c:v>
                </c:pt>
                <c:pt idx="3">
                  <c:v>S4</c:v>
                </c:pt>
                <c:pt idx="4">
                  <c:v>S5</c:v>
                </c:pt>
                <c:pt idx="5">
                  <c:v>S6</c:v>
                </c:pt>
                <c:pt idx="6">
                  <c:v>S7</c:v>
                </c:pt>
                <c:pt idx="7">
                  <c:v>S8</c:v>
                </c:pt>
                <c:pt idx="8">
                  <c:v>S9</c:v>
                </c:pt>
                <c:pt idx="9">
                  <c:v>S10</c:v>
                </c:pt>
                <c:pt idx="10">
                  <c:v>S11</c:v>
                </c:pt>
                <c:pt idx="11">
                  <c:v>S12</c:v>
                </c:pt>
                <c:pt idx="12">
                  <c:v>S13</c:v>
                </c:pt>
              </c:strCache>
            </c:strRef>
          </c:cat>
          <c:val>
            <c:numRef>
              <c:f>'Cash Management'!$F$21:$F$33</c:f>
              <c:numCache>
                <c:formatCode>#\ ##0\ "DH";[Red]\(#\ ##0\ "DH"\);\-</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B437-4705-8E65-441421B87D1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fr-F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 ##0\ &quot;DH&quot;;[Red]\(#\ ##0\ &quot;DH&quot;\);\-" sourceLinked="1"/>
        <c:majorTickMark val="none"/>
        <c:minorTickMark val="none"/>
        <c:tickLblPos val="nextTo"/>
        <c:txPr>
          <a:bodyPr anchorCtr="1"/>
          <a:lstStyle/>
          <a:p>
            <a:pPr>
              <a:defRPr sz="675"/>
            </a:pPr>
            <a:endParaRPr lang="fr-FR"/>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sz="900"/>
              <a:t>Créances clients par ancienneté (DH)</a:t>
            </a:r>
          </a:p>
        </c:rich>
      </c:tx>
      <c:overlay val="0"/>
    </c:title>
    <c:autoTitleDeleted val="0"/>
    <c:plotArea>
      <c:layout/>
      <c:barChart>
        <c:barDir val="col"/>
        <c:grouping val="clustered"/>
        <c:varyColors val="0"/>
        <c:ser>
          <c:idx val="0"/>
          <c:order val="0"/>
          <c:tx>
            <c:v>Créances</c:v>
          </c:tx>
          <c:spPr>
            <a:solidFill>
              <a:srgbClr val="8E4BFF"/>
            </a:solidFill>
          </c:spPr>
          <c:invertIfNegative val="1"/>
          <c:cat>
            <c:strRef>
              <c:f>'Cash Management'!$A$38:$A$42</c:f>
              <c:strCache>
                <c:ptCount val="5"/>
                <c:pt idx="0">
                  <c:v>Non échues</c:v>
                </c:pt>
                <c:pt idx="1">
                  <c:v>1–30 jours</c:v>
                </c:pt>
                <c:pt idx="2">
                  <c:v>31–60 jours</c:v>
                </c:pt>
                <c:pt idx="3">
                  <c:v>61–90 jours</c:v>
                </c:pt>
                <c:pt idx="4">
                  <c:v>Plus de 90 jours</c:v>
                </c:pt>
              </c:strCache>
            </c:strRef>
          </c:cat>
          <c:val>
            <c:numRef>
              <c:f>'Cash Management'!$B$38:$B$42</c:f>
              <c:numCache>
                <c:formatCode>#\ ##0\ "DH";[Red]\(#\ ##0\ "DH"\);\-</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D9D-4D46-8636-74A0DE84E70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fr-F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 ##0\ &quot;DH&quot;;[Red]\(#\ ##0\ &quot;DH&quot;\);\-" sourceLinked="1"/>
        <c:majorTickMark val="none"/>
        <c:minorTickMark val="none"/>
        <c:tickLblPos val="nextTo"/>
        <c:txPr>
          <a:bodyPr anchorCtr="1"/>
          <a:lstStyle/>
          <a:p>
            <a:pPr>
              <a:defRPr sz="675"/>
            </a:pPr>
            <a:endParaRPr lang="fr-FR"/>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sz="900"/>
              <a:t>Cash libérable par levier (DH)</a:t>
            </a:r>
          </a:p>
        </c:rich>
      </c:tx>
      <c:overlay val="0"/>
    </c:title>
    <c:autoTitleDeleted val="0"/>
    <c:plotArea>
      <c:layout/>
      <c:barChart>
        <c:barDir val="col"/>
        <c:grouping val="clustered"/>
        <c:varyColors val="0"/>
        <c:ser>
          <c:idx val="0"/>
          <c:order val="0"/>
          <c:tx>
            <c:v>Cash libérable</c:v>
          </c:tx>
          <c:spPr>
            <a:solidFill>
              <a:srgbClr val="0B8F87"/>
            </a:solidFill>
          </c:spPr>
          <c:invertIfNegative val="1"/>
          <c:cat>
            <c:strRef>
              <c:f>'Cash Management'!$A$55:$A$57</c:f>
              <c:strCache>
                <c:ptCount val="3"/>
                <c:pt idx="0">
                  <c:v>Clients — DSO</c:v>
                </c:pt>
                <c:pt idx="1">
                  <c:v>Stocks — DIO</c:v>
                </c:pt>
                <c:pt idx="2">
                  <c:v>Fournisseurs — DPO</c:v>
                </c:pt>
              </c:strCache>
            </c:strRef>
          </c:cat>
          <c:val>
            <c:numRef>
              <c:f>'Cash Management'!$F$55:$F$57</c:f>
              <c:numCache>
                <c:formatCode>#\ ##0\ "DH";[Red]\(#\ ##0\ "DH"\);\-</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BDA-430A-AD8C-834455BE7BC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fr-F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 ##0\ &quot;DH&quot;;[Red]\(#\ ##0\ &quot;DH&quot;\);\-" sourceLinked="1"/>
        <c:majorTickMark val="none"/>
        <c:minorTickMark val="none"/>
        <c:tickLblPos val="nextTo"/>
        <c:txPr>
          <a:bodyPr anchorCtr="1"/>
          <a:lstStyle/>
          <a:p>
            <a:pPr>
              <a:defRPr sz="675"/>
            </a:pPr>
            <a:endParaRPr lang="fr-FR"/>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19</xdr:row>
      <xdr:rowOff>0</xdr:rowOff>
    </xdr:from>
    <xdr:to>
      <xdr:col>15</xdr:col>
      <xdr:colOff>0</xdr:colOff>
      <xdr:row>34</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36</xdr:row>
      <xdr:rowOff>0</xdr:rowOff>
    </xdr:from>
    <xdr:to>
      <xdr:col>15</xdr:col>
      <xdr:colOff>0</xdr:colOff>
      <xdr:row>51</xdr:row>
      <xdr:rowOff>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53</xdr:row>
      <xdr:rowOff>0</xdr:rowOff>
    </xdr:from>
    <xdr:to>
      <xdr:col>15</xdr:col>
      <xdr:colOff>0</xdr:colOff>
      <xdr:row>66</xdr:row>
      <xdr:rowOff>0</xdr:rowOff>
    </xdr:to>
    <xdr:graphicFrame macro="">
      <xdr:nvGraphicFramePr>
        <xdr:cNvPr id="4" nam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11</xdr:col>
      <xdr:colOff>123825</xdr:colOff>
      <xdr:row>35</xdr:row>
      <xdr:rowOff>219075</xdr:rowOff>
    </xdr:to>
    <xdr:sp macro="" textlink="">
      <xdr:nvSpPr>
        <xdr:cNvPr id="1028" name="Text Box 4" hidden="1">
          <a:extLst>
            <a:ext uri="{FF2B5EF4-FFF2-40B4-BE49-F238E27FC236}">
              <a16:creationId xmlns:a16="http://schemas.microsoft.com/office/drawing/2014/main" id="{00000000-0008-0000-07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123825</xdr:colOff>
      <xdr:row>35</xdr:row>
      <xdr:rowOff>219075</xdr:rowOff>
    </xdr:to>
    <xdr:sp macro="" textlink="">
      <xdr:nvSpPr>
        <xdr:cNvPr id="5" name="AutoShape 4">
          <a:extLst>
            <a:ext uri="{FF2B5EF4-FFF2-40B4-BE49-F238E27FC236}">
              <a16:creationId xmlns:a16="http://schemas.microsoft.com/office/drawing/2014/main" id="{CC7704FB-E5D1-A139-AFAE-E536199913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11</xdr:col>
      <xdr:colOff>123825</xdr:colOff>
      <xdr:row>35</xdr:row>
      <xdr:rowOff>219075</xdr:rowOff>
    </xdr:to>
    <xdr:sp macro="" textlink="">
      <xdr:nvSpPr>
        <xdr:cNvPr id="6" name="AutoShape 4">
          <a:extLst>
            <a:ext uri="{FF2B5EF4-FFF2-40B4-BE49-F238E27FC236}">
              <a16:creationId xmlns:a16="http://schemas.microsoft.com/office/drawing/2014/main" id="{2E2BC77B-243C-2491-C8E8-CEA22FC7344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User" id="{83ECAE0E-35DD-48D2-9A94-7BCD97DBF174}"/>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A7" dT="2026-08-27T12:29:49.131" personId="{83ECAE0E-35DD-48D2-9A94-7BCD97DBF174}" id="{1B97548D-7F8A-4876-96DE-5AC0448E501D}">
    <xltc:text>Source : échéances et soldes des feuilles 2_Clients et 3_Fournisseurs. Périmètre opérationnel uniquement, hors banque, paie, fiscalité, dette et CAPEX.</xltc:text>
  </xltc:threadedComment>
  <xltc:threadedComment ref="A12" dT="2026-08-27T12:29:49.132" personId="{83ECAE0E-35DD-48D2-9A94-7BCD97DBF174}" id="{578B1F22-B0CC-4F00-AE32-AC11A9A647CB}">
    <xltc:text>Hypothèse : cash libérable en ramenant DSO et DIO aux cibles sectorielles et en rapprochant le DPO de la cible. Les cibles proviennent de 5_Dashboard!B40:E44.</xltc:text>
  </xltc:threadedComment>
  <xltc:threadedComment ref="D7" dT="2026-08-27T12:29:49.132" personId="{83ECAE0E-35DD-48D2-9A94-7BCD97DBF174}" id="{D5A1506D-7C32-4077-A679-8329E2BD523E}">
    <xltc:text>Le besoin maximum correspond au point le plus négatif du cumul hebdomadaire des flux clients et fournisseurs sur 13 semaines.</xltc:text>
  </xltc:threadedComment>
</xltc:ThreadedComment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15a63dfc74134755" Type="http://schemas.microsoft.com/office/2017/10/relationships/threadedComment" Target="../threadedcomments/threadedcomment.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3"/>
  <sheetViews>
    <sheetView showGridLines="0" tabSelected="1" workbookViewId="0">
      <selection activeCell="D8" sqref="D8"/>
    </sheetView>
  </sheetViews>
  <sheetFormatPr baseColWidth="10" defaultColWidth="9.140625" defaultRowHeight="15" x14ac:dyDescent="0.25"/>
  <cols>
    <col min="1" max="1" width="3" customWidth="1"/>
    <col min="2" max="2" width="22" customWidth="1"/>
    <col min="3" max="3" width="6" customWidth="1"/>
    <col min="4" max="4" width="24" customWidth="1"/>
    <col min="5" max="5" width="34" customWidth="1"/>
    <col min="6" max="6" width="3" customWidth="1"/>
  </cols>
  <sheetData>
    <row r="2" spans="2:5" ht="45.95" customHeight="1" x14ac:dyDescent="0.25">
      <c r="B2" s="84" t="s">
        <v>0</v>
      </c>
      <c r="C2" s="83"/>
      <c r="D2" s="83"/>
      <c r="E2" s="83"/>
    </row>
    <row r="3" spans="2:5" ht="21.95" customHeight="1" x14ac:dyDescent="0.25">
      <c r="B3" s="82" t="s">
        <v>1</v>
      </c>
      <c r="C3" s="83"/>
      <c r="D3" s="83"/>
      <c r="E3" s="83"/>
    </row>
    <row r="4" spans="2:5" ht="3.95" customHeight="1" x14ac:dyDescent="0.25">
      <c r="B4" s="88"/>
      <c r="C4" s="83"/>
      <c r="D4" s="83"/>
      <c r="E4" s="83"/>
    </row>
    <row r="6" spans="2:5" ht="9.9499999999999993" customHeight="1" x14ac:dyDescent="0.25"/>
    <row r="7" spans="2:5" ht="26.1" customHeight="1" x14ac:dyDescent="0.25">
      <c r="B7" s="86" t="s">
        <v>2</v>
      </c>
      <c r="C7" s="83"/>
      <c r="D7" s="83"/>
      <c r="E7" s="83"/>
    </row>
    <row r="8" spans="2:5" ht="24" customHeight="1" x14ac:dyDescent="0.25">
      <c r="B8" s="1" t="s">
        <v>3</v>
      </c>
      <c r="C8" s="2"/>
      <c r="D8" s="3" t="s">
        <v>300</v>
      </c>
      <c r="E8" s="4" t="s">
        <v>4</v>
      </c>
    </row>
    <row r="9" spans="2:5" ht="24" customHeight="1" x14ac:dyDescent="0.25">
      <c r="B9" s="1" t="s">
        <v>5</v>
      </c>
      <c r="C9" s="2"/>
      <c r="D9" s="3"/>
      <c r="E9" s="4" t="s">
        <v>6</v>
      </c>
    </row>
    <row r="10" spans="2:5" ht="24" customHeight="1" x14ac:dyDescent="0.25">
      <c r="B10" s="1" t="s">
        <v>7</v>
      </c>
      <c r="C10" s="2"/>
      <c r="D10" s="5">
        <v>46260</v>
      </c>
      <c r="E10" s="4" t="s">
        <v>8</v>
      </c>
    </row>
    <row r="11" spans="2:5" ht="24" customHeight="1" x14ac:dyDescent="0.25">
      <c r="B11" s="1" t="s">
        <v>9</v>
      </c>
      <c r="C11" s="2"/>
      <c r="D11" s="6"/>
      <c r="E11" s="4" t="s">
        <v>10</v>
      </c>
    </row>
    <row r="12" spans="2:5" ht="24" customHeight="1" x14ac:dyDescent="0.25">
      <c r="B12" s="1" t="s">
        <v>11</v>
      </c>
      <c r="C12" s="2"/>
      <c r="D12" s="7">
        <v>0.2</v>
      </c>
      <c r="E12" s="4" t="s">
        <v>12</v>
      </c>
    </row>
    <row r="13" spans="2:5" ht="24" customHeight="1" x14ac:dyDescent="0.25">
      <c r="B13" s="89" t="s">
        <v>13</v>
      </c>
      <c r="C13" s="83"/>
      <c r="D13" s="83"/>
      <c r="E13" s="83"/>
    </row>
    <row r="14" spans="2:5" ht="8.1" customHeight="1" x14ac:dyDescent="0.25"/>
    <row r="15" spans="2:5" ht="26.1" customHeight="1" x14ac:dyDescent="0.25">
      <c r="B15" s="86" t="s">
        <v>14</v>
      </c>
      <c r="C15" s="83"/>
      <c r="D15" s="83"/>
      <c r="E15" s="83"/>
    </row>
    <row r="16" spans="2:5" ht="50.1" customHeight="1" x14ac:dyDescent="0.25">
      <c r="B16" s="8" t="s">
        <v>15</v>
      </c>
      <c r="C16" s="9"/>
      <c r="D16" s="85" t="s">
        <v>16</v>
      </c>
      <c r="E16" s="83"/>
    </row>
    <row r="17" spans="2:5" ht="50.1" customHeight="1" x14ac:dyDescent="0.25">
      <c r="B17" s="8" t="s">
        <v>17</v>
      </c>
      <c r="C17" s="9"/>
      <c r="D17" s="85" t="s">
        <v>18</v>
      </c>
      <c r="E17" s="83"/>
    </row>
    <row r="18" spans="2:5" ht="50.1" customHeight="1" x14ac:dyDescent="0.25">
      <c r="B18" s="8" t="s">
        <v>19</v>
      </c>
      <c r="C18" s="9"/>
      <c r="D18" s="85" t="s">
        <v>20</v>
      </c>
      <c r="E18" s="83"/>
    </row>
    <row r="19" spans="2:5" ht="8.1" customHeight="1" x14ac:dyDescent="0.25"/>
    <row r="20" spans="2:5" ht="26.1" customHeight="1" x14ac:dyDescent="0.25">
      <c r="B20" s="86" t="s">
        <v>21</v>
      </c>
      <c r="C20" s="83"/>
      <c r="D20" s="83"/>
      <c r="E20" s="83"/>
    </row>
    <row r="21" spans="2:5" ht="26.1" customHeight="1" x14ac:dyDescent="0.25">
      <c r="B21" s="11" t="s">
        <v>22</v>
      </c>
      <c r="D21" s="12" t="s">
        <v>23</v>
      </c>
    </row>
    <row r="22" spans="2:5" ht="26.1" customHeight="1" x14ac:dyDescent="0.25">
      <c r="B22" s="13" t="s">
        <v>24</v>
      </c>
      <c r="D22" s="14" t="s">
        <v>25</v>
      </c>
    </row>
    <row r="23" spans="2:5" x14ac:dyDescent="0.25">
      <c r="B23" s="87" t="s">
        <v>26</v>
      </c>
      <c r="C23" s="83"/>
      <c r="D23" s="83"/>
      <c r="E23" s="83"/>
    </row>
  </sheetData>
  <mergeCells count="11">
    <mergeCell ref="B23:E23"/>
    <mergeCell ref="D16:E16"/>
    <mergeCell ref="B4:E4"/>
    <mergeCell ref="B13:E13"/>
    <mergeCell ref="B15:E15"/>
    <mergeCell ref="B7:E7"/>
    <mergeCell ref="B3:E3"/>
    <mergeCell ref="B2:E2"/>
    <mergeCell ref="D18:E18"/>
    <mergeCell ref="D17:E17"/>
    <mergeCell ref="B20:E20"/>
  </mergeCells>
  <dataValidations count="1">
    <dataValidation type="list" allowBlank="1" sqref="D9" xr:uid="{00000000-0002-0000-0000-000000000000}">
      <formula1>"Distribution,Industrie,BTP,Services,Agroalimentaire"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7"/>
  <sheetViews>
    <sheetView showGridLines="0" workbookViewId="0"/>
  </sheetViews>
  <sheetFormatPr baseColWidth="10" defaultColWidth="9.140625" defaultRowHeight="15" x14ac:dyDescent="0.25"/>
  <cols>
    <col min="1" max="1" width="15" customWidth="1"/>
    <col min="2" max="2" width="36" customWidth="1"/>
    <col min="3" max="5" width="18" customWidth="1"/>
  </cols>
  <sheetData>
    <row r="1" spans="1:5" ht="33.950000000000003" customHeight="1" x14ac:dyDescent="0.25">
      <c r="A1" s="90" t="s">
        <v>27</v>
      </c>
      <c r="B1" s="83"/>
      <c r="C1" s="83"/>
      <c r="D1" s="83"/>
      <c r="E1" s="83"/>
    </row>
    <row r="2" spans="1:5" ht="30" customHeight="1" x14ac:dyDescent="0.25">
      <c r="A2" s="85" t="s">
        <v>28</v>
      </c>
      <c r="B2" s="83"/>
      <c r="C2" s="83"/>
      <c r="D2" s="83"/>
      <c r="E2" s="83"/>
    </row>
    <row r="3" spans="1:5" ht="20.100000000000001" customHeight="1" x14ac:dyDescent="0.25">
      <c r="A3" s="89" t="s">
        <v>29</v>
      </c>
      <c r="B3" s="83"/>
      <c r="C3" s="83"/>
      <c r="D3" s="83"/>
      <c r="E3" s="83"/>
    </row>
    <row r="7" spans="1:5" ht="26.1" customHeight="1" x14ac:dyDescent="0.25">
      <c r="A7" s="11" t="s">
        <v>30</v>
      </c>
      <c r="B7" s="11" t="s">
        <v>31</v>
      </c>
      <c r="C7" s="11" t="s">
        <v>32</v>
      </c>
      <c r="D7" s="11" t="s">
        <v>33</v>
      </c>
      <c r="E7" s="11" t="s">
        <v>34</v>
      </c>
    </row>
    <row r="8" spans="1:5" ht="15.95" customHeight="1" x14ac:dyDescent="0.25">
      <c r="A8" s="15"/>
      <c r="B8" s="3"/>
      <c r="C8" s="16"/>
      <c r="D8" s="16"/>
      <c r="E8" s="17" t="str">
        <f t="shared" ref="E8:E39" si="0">IF(AND(C8="",D8=""),"",C8-D8)</f>
        <v/>
      </c>
    </row>
    <row r="9" spans="1:5" ht="15.95" customHeight="1" x14ac:dyDescent="0.25">
      <c r="A9" s="15"/>
      <c r="B9" s="3"/>
      <c r="C9" s="16"/>
      <c r="D9" s="16"/>
      <c r="E9" s="18" t="str">
        <f t="shared" si="0"/>
        <v/>
      </c>
    </row>
    <row r="10" spans="1:5" ht="15.95" customHeight="1" x14ac:dyDescent="0.25">
      <c r="A10" s="15"/>
      <c r="B10" s="3"/>
      <c r="C10" s="16"/>
      <c r="D10" s="16"/>
      <c r="E10" s="17" t="str">
        <f t="shared" si="0"/>
        <v/>
      </c>
    </row>
    <row r="11" spans="1:5" ht="15.95" customHeight="1" x14ac:dyDescent="0.25">
      <c r="A11" s="15"/>
      <c r="B11" s="3"/>
      <c r="C11" s="16"/>
      <c r="D11" s="16"/>
      <c r="E11" s="18" t="str">
        <f t="shared" si="0"/>
        <v/>
      </c>
    </row>
    <row r="12" spans="1:5" ht="15.95" customHeight="1" x14ac:dyDescent="0.25">
      <c r="A12" s="15"/>
      <c r="B12" s="3"/>
      <c r="C12" s="16"/>
      <c r="D12" s="16"/>
      <c r="E12" s="17" t="str">
        <f t="shared" si="0"/>
        <v/>
      </c>
    </row>
    <row r="13" spans="1:5" ht="15.95" customHeight="1" x14ac:dyDescent="0.25">
      <c r="A13" s="15"/>
      <c r="B13" s="3"/>
      <c r="C13" s="16"/>
      <c r="D13" s="16"/>
      <c r="E13" s="18" t="str">
        <f t="shared" si="0"/>
        <v/>
      </c>
    </row>
    <row r="14" spans="1:5" ht="15.95" customHeight="1" x14ac:dyDescent="0.25">
      <c r="A14" s="15"/>
      <c r="B14" s="3"/>
      <c r="C14" s="16"/>
      <c r="D14" s="16"/>
      <c r="E14" s="17" t="str">
        <f t="shared" si="0"/>
        <v/>
      </c>
    </row>
    <row r="15" spans="1:5" ht="15.95" customHeight="1" x14ac:dyDescent="0.25">
      <c r="A15" s="15"/>
      <c r="B15" s="3"/>
      <c r="C15" s="16"/>
      <c r="D15" s="16"/>
      <c r="E15" s="18" t="str">
        <f t="shared" si="0"/>
        <v/>
      </c>
    </row>
    <row r="16" spans="1:5" ht="15.95" customHeight="1" x14ac:dyDescent="0.25">
      <c r="A16" s="15"/>
      <c r="B16" s="3"/>
      <c r="C16" s="16"/>
      <c r="D16" s="16"/>
      <c r="E16" s="17" t="str">
        <f t="shared" si="0"/>
        <v/>
      </c>
    </row>
    <row r="17" spans="1:5" ht="15.95" customHeight="1" x14ac:dyDescent="0.25">
      <c r="A17" s="15"/>
      <c r="B17" s="3"/>
      <c r="C17" s="16"/>
      <c r="D17" s="16"/>
      <c r="E17" s="18" t="str">
        <f t="shared" si="0"/>
        <v/>
      </c>
    </row>
    <row r="18" spans="1:5" ht="15.95" customHeight="1" x14ac:dyDescent="0.25">
      <c r="A18" s="15"/>
      <c r="B18" s="3"/>
      <c r="C18" s="16"/>
      <c r="D18" s="16"/>
      <c r="E18" s="17" t="str">
        <f t="shared" si="0"/>
        <v/>
      </c>
    </row>
    <row r="19" spans="1:5" ht="15.95" customHeight="1" x14ac:dyDescent="0.25">
      <c r="A19" s="15"/>
      <c r="B19" s="3"/>
      <c r="C19" s="16"/>
      <c r="D19" s="16"/>
      <c r="E19" s="18" t="str">
        <f t="shared" si="0"/>
        <v/>
      </c>
    </row>
    <row r="20" spans="1:5" ht="15.95" customHeight="1" x14ac:dyDescent="0.25">
      <c r="A20" s="15"/>
      <c r="B20" s="3"/>
      <c r="C20" s="16"/>
      <c r="D20" s="16"/>
      <c r="E20" s="17" t="str">
        <f t="shared" si="0"/>
        <v/>
      </c>
    </row>
    <row r="21" spans="1:5" ht="15.95" customHeight="1" x14ac:dyDescent="0.25">
      <c r="A21" s="15"/>
      <c r="B21" s="3"/>
      <c r="C21" s="16"/>
      <c r="D21" s="16"/>
      <c r="E21" s="18" t="str">
        <f t="shared" si="0"/>
        <v/>
      </c>
    </row>
    <row r="22" spans="1:5" ht="15.95" customHeight="1" x14ac:dyDescent="0.25">
      <c r="A22" s="15"/>
      <c r="B22" s="3"/>
      <c r="C22" s="16"/>
      <c r="D22" s="16"/>
      <c r="E22" s="17" t="str">
        <f t="shared" si="0"/>
        <v/>
      </c>
    </row>
    <row r="23" spans="1:5" ht="15.95" customHeight="1" x14ac:dyDescent="0.25">
      <c r="A23" s="15"/>
      <c r="B23" s="3"/>
      <c r="C23" s="16"/>
      <c r="D23" s="16"/>
      <c r="E23" s="18" t="str">
        <f t="shared" si="0"/>
        <v/>
      </c>
    </row>
    <row r="24" spans="1:5" ht="15.95" customHeight="1" x14ac:dyDescent="0.25">
      <c r="A24" s="15"/>
      <c r="B24" s="3"/>
      <c r="C24" s="16"/>
      <c r="D24" s="16"/>
      <c r="E24" s="17" t="str">
        <f t="shared" si="0"/>
        <v/>
      </c>
    </row>
    <row r="25" spans="1:5" ht="15.95" customHeight="1" x14ac:dyDescent="0.25">
      <c r="A25" s="15"/>
      <c r="B25" s="3"/>
      <c r="C25" s="16"/>
      <c r="D25" s="16"/>
      <c r="E25" s="18" t="str">
        <f t="shared" si="0"/>
        <v/>
      </c>
    </row>
    <row r="26" spans="1:5" ht="15.95" customHeight="1" x14ac:dyDescent="0.25">
      <c r="A26" s="15"/>
      <c r="B26" s="3"/>
      <c r="C26" s="16"/>
      <c r="D26" s="16"/>
      <c r="E26" s="17" t="str">
        <f t="shared" si="0"/>
        <v/>
      </c>
    </row>
    <row r="27" spans="1:5" ht="15.95" customHeight="1" x14ac:dyDescent="0.25">
      <c r="A27" s="15"/>
      <c r="B27" s="3"/>
      <c r="C27" s="16"/>
      <c r="D27" s="16"/>
      <c r="E27" s="18" t="str">
        <f t="shared" si="0"/>
        <v/>
      </c>
    </row>
    <row r="28" spans="1:5" ht="15.95" customHeight="1" x14ac:dyDescent="0.25">
      <c r="A28" s="15"/>
      <c r="B28" s="3"/>
      <c r="C28" s="16"/>
      <c r="D28" s="16"/>
      <c r="E28" s="17" t="str">
        <f t="shared" si="0"/>
        <v/>
      </c>
    </row>
    <row r="29" spans="1:5" ht="15.95" customHeight="1" x14ac:dyDescent="0.25">
      <c r="A29" s="15"/>
      <c r="B29" s="3"/>
      <c r="C29" s="16"/>
      <c r="D29" s="16"/>
      <c r="E29" s="18" t="str">
        <f t="shared" si="0"/>
        <v/>
      </c>
    </row>
    <row r="30" spans="1:5" ht="15.95" customHeight="1" x14ac:dyDescent="0.25">
      <c r="A30" s="15"/>
      <c r="B30" s="3"/>
      <c r="C30" s="16"/>
      <c r="D30" s="16"/>
      <c r="E30" s="17" t="str">
        <f t="shared" si="0"/>
        <v/>
      </c>
    </row>
    <row r="31" spans="1:5" ht="15.95" customHeight="1" x14ac:dyDescent="0.25">
      <c r="A31" s="15"/>
      <c r="B31" s="3"/>
      <c r="C31" s="16"/>
      <c r="D31" s="16"/>
      <c r="E31" s="18" t="str">
        <f t="shared" si="0"/>
        <v/>
      </c>
    </row>
    <row r="32" spans="1:5" ht="15.95" customHeight="1" x14ac:dyDescent="0.25">
      <c r="A32" s="15"/>
      <c r="B32" s="3"/>
      <c r="C32" s="16"/>
      <c r="D32" s="16"/>
      <c r="E32" s="17" t="str">
        <f t="shared" si="0"/>
        <v/>
      </c>
    </row>
    <row r="33" spans="1:5" ht="15.95" customHeight="1" x14ac:dyDescent="0.25">
      <c r="A33" s="15"/>
      <c r="B33" s="3"/>
      <c r="C33" s="16"/>
      <c r="D33" s="16"/>
      <c r="E33" s="18" t="str">
        <f t="shared" si="0"/>
        <v/>
      </c>
    </row>
    <row r="34" spans="1:5" ht="15.95" customHeight="1" x14ac:dyDescent="0.25">
      <c r="A34" s="15"/>
      <c r="B34" s="3"/>
      <c r="C34" s="16"/>
      <c r="D34" s="16"/>
      <c r="E34" s="17" t="str">
        <f t="shared" si="0"/>
        <v/>
      </c>
    </row>
    <row r="35" spans="1:5" ht="15.95" customHeight="1" x14ac:dyDescent="0.25">
      <c r="A35" s="15"/>
      <c r="B35" s="3"/>
      <c r="C35" s="16"/>
      <c r="D35" s="16"/>
      <c r="E35" s="18" t="str">
        <f t="shared" si="0"/>
        <v/>
      </c>
    </row>
    <row r="36" spans="1:5" ht="15.95" customHeight="1" x14ac:dyDescent="0.25">
      <c r="A36" s="15"/>
      <c r="B36" s="3"/>
      <c r="C36" s="16"/>
      <c r="D36" s="16"/>
      <c r="E36" s="17" t="str">
        <f t="shared" si="0"/>
        <v/>
      </c>
    </row>
    <row r="37" spans="1:5" ht="15.95" customHeight="1" x14ac:dyDescent="0.25">
      <c r="A37" s="15"/>
      <c r="B37" s="3"/>
      <c r="C37" s="16"/>
      <c r="D37" s="16"/>
      <c r="E37" s="18" t="str">
        <f t="shared" si="0"/>
        <v/>
      </c>
    </row>
    <row r="38" spans="1:5" ht="15.95" customHeight="1" x14ac:dyDescent="0.25">
      <c r="A38" s="15"/>
      <c r="B38" s="3"/>
      <c r="C38" s="16"/>
      <c r="D38" s="16"/>
      <c r="E38" s="17" t="str">
        <f t="shared" si="0"/>
        <v/>
      </c>
    </row>
    <row r="39" spans="1:5" ht="15.95" customHeight="1" x14ac:dyDescent="0.25">
      <c r="A39" s="15"/>
      <c r="B39" s="3"/>
      <c r="C39" s="16"/>
      <c r="D39" s="16"/>
      <c r="E39" s="18" t="str">
        <f t="shared" si="0"/>
        <v/>
      </c>
    </row>
    <row r="40" spans="1:5" ht="15.95" customHeight="1" x14ac:dyDescent="0.25">
      <c r="A40" s="15"/>
      <c r="B40" s="3"/>
      <c r="C40" s="16"/>
      <c r="D40" s="16"/>
      <c r="E40" s="17" t="str">
        <f t="shared" ref="E40:E71" si="1">IF(AND(C40="",D40=""),"",C40-D40)</f>
        <v/>
      </c>
    </row>
    <row r="41" spans="1:5" ht="15.95" customHeight="1" x14ac:dyDescent="0.25">
      <c r="A41" s="15"/>
      <c r="B41" s="3"/>
      <c r="C41" s="16"/>
      <c r="D41" s="16"/>
      <c r="E41" s="18" t="str">
        <f t="shared" si="1"/>
        <v/>
      </c>
    </row>
    <row r="42" spans="1:5" ht="15.95" customHeight="1" x14ac:dyDescent="0.25">
      <c r="A42" s="15"/>
      <c r="B42" s="3"/>
      <c r="C42" s="16"/>
      <c r="D42" s="16"/>
      <c r="E42" s="17" t="str">
        <f t="shared" si="1"/>
        <v/>
      </c>
    </row>
    <row r="43" spans="1:5" ht="15.95" customHeight="1" x14ac:dyDescent="0.25">
      <c r="A43" s="15"/>
      <c r="B43" s="3"/>
      <c r="C43" s="16"/>
      <c r="D43" s="16"/>
      <c r="E43" s="18" t="str">
        <f t="shared" si="1"/>
        <v/>
      </c>
    </row>
    <row r="44" spans="1:5" ht="15.95" customHeight="1" x14ac:dyDescent="0.25">
      <c r="A44" s="15"/>
      <c r="B44" s="3"/>
      <c r="C44" s="16"/>
      <c r="D44" s="16"/>
      <c r="E44" s="17" t="str">
        <f t="shared" si="1"/>
        <v/>
      </c>
    </row>
    <row r="45" spans="1:5" ht="15.95" customHeight="1" x14ac:dyDescent="0.25">
      <c r="A45" s="15"/>
      <c r="B45" s="3"/>
      <c r="C45" s="16"/>
      <c r="D45" s="16"/>
      <c r="E45" s="18" t="str">
        <f t="shared" si="1"/>
        <v/>
      </c>
    </row>
    <row r="46" spans="1:5" ht="15.95" customHeight="1" x14ac:dyDescent="0.25">
      <c r="A46" s="15"/>
      <c r="B46" s="3"/>
      <c r="C46" s="16"/>
      <c r="D46" s="16"/>
      <c r="E46" s="17" t="str">
        <f t="shared" si="1"/>
        <v/>
      </c>
    </row>
    <row r="47" spans="1:5" ht="15.95" customHeight="1" x14ac:dyDescent="0.25">
      <c r="A47" s="15"/>
      <c r="B47" s="3"/>
      <c r="C47" s="16"/>
      <c r="D47" s="16"/>
      <c r="E47" s="18" t="str">
        <f t="shared" si="1"/>
        <v/>
      </c>
    </row>
    <row r="48" spans="1:5" ht="15.95" customHeight="1" x14ac:dyDescent="0.25">
      <c r="A48" s="15"/>
      <c r="B48" s="3"/>
      <c r="C48" s="16"/>
      <c r="D48" s="16"/>
      <c r="E48" s="17" t="str">
        <f t="shared" si="1"/>
        <v/>
      </c>
    </row>
    <row r="49" spans="1:5" ht="15.95" customHeight="1" x14ac:dyDescent="0.25">
      <c r="A49" s="15"/>
      <c r="B49" s="3"/>
      <c r="C49" s="16"/>
      <c r="D49" s="16"/>
      <c r="E49" s="18" t="str">
        <f t="shared" si="1"/>
        <v/>
      </c>
    </row>
    <row r="50" spans="1:5" ht="15.95" customHeight="1" x14ac:dyDescent="0.25">
      <c r="A50" s="15"/>
      <c r="B50" s="3"/>
      <c r="C50" s="16"/>
      <c r="D50" s="16"/>
      <c r="E50" s="17" t="str">
        <f t="shared" si="1"/>
        <v/>
      </c>
    </row>
    <row r="51" spans="1:5" ht="15.95" customHeight="1" x14ac:dyDescent="0.25">
      <c r="A51" s="15"/>
      <c r="B51" s="3"/>
      <c r="C51" s="16"/>
      <c r="D51" s="16"/>
      <c r="E51" s="18" t="str">
        <f t="shared" si="1"/>
        <v/>
      </c>
    </row>
    <row r="52" spans="1:5" ht="15.95" customHeight="1" x14ac:dyDescent="0.25">
      <c r="A52" s="15"/>
      <c r="B52" s="3"/>
      <c r="C52" s="16"/>
      <c r="D52" s="16"/>
      <c r="E52" s="17" t="str">
        <f t="shared" si="1"/>
        <v/>
      </c>
    </row>
    <row r="53" spans="1:5" ht="15.95" customHeight="1" x14ac:dyDescent="0.25">
      <c r="A53" s="15"/>
      <c r="B53" s="3"/>
      <c r="C53" s="16"/>
      <c r="D53" s="16"/>
      <c r="E53" s="18" t="str">
        <f t="shared" si="1"/>
        <v/>
      </c>
    </row>
    <row r="54" spans="1:5" ht="15.95" customHeight="1" x14ac:dyDescent="0.25">
      <c r="A54" s="15"/>
      <c r="B54" s="3"/>
      <c r="C54" s="16"/>
      <c r="D54" s="16"/>
      <c r="E54" s="17" t="str">
        <f t="shared" si="1"/>
        <v/>
      </c>
    </row>
    <row r="55" spans="1:5" ht="15.95" customHeight="1" x14ac:dyDescent="0.25">
      <c r="A55" s="15"/>
      <c r="B55" s="3"/>
      <c r="C55" s="16"/>
      <c r="D55" s="16"/>
      <c r="E55" s="18" t="str">
        <f t="shared" si="1"/>
        <v/>
      </c>
    </row>
    <row r="56" spans="1:5" ht="15.95" customHeight="1" x14ac:dyDescent="0.25">
      <c r="A56" s="15"/>
      <c r="B56" s="3"/>
      <c r="C56" s="16"/>
      <c r="D56" s="16"/>
      <c r="E56" s="17" t="str">
        <f t="shared" si="1"/>
        <v/>
      </c>
    </row>
    <row r="57" spans="1:5" ht="15.95" customHeight="1" x14ac:dyDescent="0.25">
      <c r="A57" s="15"/>
      <c r="B57" s="3"/>
      <c r="C57" s="16"/>
      <c r="D57" s="16"/>
      <c r="E57" s="18" t="str">
        <f t="shared" si="1"/>
        <v/>
      </c>
    </row>
    <row r="58" spans="1:5" ht="15.95" customHeight="1" x14ac:dyDescent="0.25">
      <c r="A58" s="15"/>
      <c r="B58" s="3"/>
      <c r="C58" s="16"/>
      <c r="D58" s="16"/>
      <c r="E58" s="17" t="str">
        <f t="shared" si="1"/>
        <v/>
      </c>
    </row>
    <row r="59" spans="1:5" ht="15.95" customHeight="1" x14ac:dyDescent="0.25">
      <c r="A59" s="15"/>
      <c r="B59" s="3"/>
      <c r="C59" s="16"/>
      <c r="D59" s="16"/>
      <c r="E59" s="18" t="str">
        <f t="shared" si="1"/>
        <v/>
      </c>
    </row>
    <row r="60" spans="1:5" ht="15.95" customHeight="1" x14ac:dyDescent="0.25">
      <c r="A60" s="15"/>
      <c r="B60" s="3"/>
      <c r="C60" s="16"/>
      <c r="D60" s="16"/>
      <c r="E60" s="17" t="str">
        <f t="shared" si="1"/>
        <v/>
      </c>
    </row>
    <row r="61" spans="1:5" ht="15.95" customHeight="1" x14ac:dyDescent="0.25">
      <c r="A61" s="15"/>
      <c r="B61" s="3"/>
      <c r="C61" s="16"/>
      <c r="D61" s="16"/>
      <c r="E61" s="18" t="str">
        <f t="shared" si="1"/>
        <v/>
      </c>
    </row>
    <row r="62" spans="1:5" ht="15.95" customHeight="1" x14ac:dyDescent="0.25">
      <c r="A62" s="15"/>
      <c r="B62" s="3"/>
      <c r="C62" s="16"/>
      <c r="D62" s="16"/>
      <c r="E62" s="17" t="str">
        <f t="shared" si="1"/>
        <v/>
      </c>
    </row>
    <row r="63" spans="1:5" ht="15.95" customHeight="1" x14ac:dyDescent="0.25">
      <c r="A63" s="15"/>
      <c r="B63" s="3"/>
      <c r="C63" s="16"/>
      <c r="D63" s="16"/>
      <c r="E63" s="18" t="str">
        <f t="shared" si="1"/>
        <v/>
      </c>
    </row>
    <row r="64" spans="1:5" ht="15.95" customHeight="1" x14ac:dyDescent="0.25">
      <c r="A64" s="15"/>
      <c r="B64" s="3"/>
      <c r="C64" s="16"/>
      <c r="D64" s="16"/>
      <c r="E64" s="17" t="str">
        <f t="shared" si="1"/>
        <v/>
      </c>
    </row>
    <row r="65" spans="1:5" ht="15.95" customHeight="1" x14ac:dyDescent="0.25">
      <c r="A65" s="15"/>
      <c r="B65" s="3"/>
      <c r="C65" s="16"/>
      <c r="D65" s="16"/>
      <c r="E65" s="18" t="str">
        <f t="shared" si="1"/>
        <v/>
      </c>
    </row>
    <row r="66" spans="1:5" ht="15.95" customHeight="1" x14ac:dyDescent="0.25">
      <c r="A66" s="15"/>
      <c r="B66" s="3"/>
      <c r="C66" s="16"/>
      <c r="D66" s="16"/>
      <c r="E66" s="17" t="str">
        <f t="shared" si="1"/>
        <v/>
      </c>
    </row>
    <row r="67" spans="1:5" ht="15.95" customHeight="1" x14ac:dyDescent="0.25">
      <c r="A67" s="15"/>
      <c r="B67" s="3"/>
      <c r="C67" s="16"/>
      <c r="D67" s="16"/>
      <c r="E67" s="18" t="str">
        <f t="shared" si="1"/>
        <v/>
      </c>
    </row>
    <row r="68" spans="1:5" ht="15.95" customHeight="1" x14ac:dyDescent="0.25">
      <c r="A68" s="15"/>
      <c r="B68" s="3"/>
      <c r="C68" s="16"/>
      <c r="D68" s="16"/>
      <c r="E68" s="17" t="str">
        <f t="shared" si="1"/>
        <v/>
      </c>
    </row>
    <row r="69" spans="1:5" ht="15.95" customHeight="1" x14ac:dyDescent="0.25">
      <c r="A69" s="15"/>
      <c r="B69" s="3"/>
      <c r="C69" s="16"/>
      <c r="D69" s="16"/>
      <c r="E69" s="18" t="str">
        <f t="shared" si="1"/>
        <v/>
      </c>
    </row>
    <row r="70" spans="1:5" ht="15.95" customHeight="1" x14ac:dyDescent="0.25">
      <c r="A70" s="15"/>
      <c r="B70" s="3"/>
      <c r="C70" s="16"/>
      <c r="D70" s="16"/>
      <c r="E70" s="17" t="str">
        <f t="shared" si="1"/>
        <v/>
      </c>
    </row>
    <row r="71" spans="1:5" ht="15.95" customHeight="1" x14ac:dyDescent="0.25">
      <c r="A71" s="15"/>
      <c r="B71" s="3"/>
      <c r="C71" s="16"/>
      <c r="D71" s="16"/>
      <c r="E71" s="18" t="str">
        <f t="shared" si="1"/>
        <v/>
      </c>
    </row>
    <row r="72" spans="1:5" ht="15.95" customHeight="1" x14ac:dyDescent="0.25">
      <c r="A72" s="15"/>
      <c r="B72" s="3"/>
      <c r="C72" s="16"/>
      <c r="D72" s="16"/>
      <c r="E72" s="17" t="str">
        <f t="shared" ref="E72:E103" si="2">IF(AND(C72="",D72=""),"",C72-D72)</f>
        <v/>
      </c>
    </row>
    <row r="73" spans="1:5" ht="15.95" customHeight="1" x14ac:dyDescent="0.25">
      <c r="A73" s="15"/>
      <c r="B73" s="3"/>
      <c r="C73" s="16"/>
      <c r="D73" s="16"/>
      <c r="E73" s="18" t="str">
        <f t="shared" si="2"/>
        <v/>
      </c>
    </row>
    <row r="74" spans="1:5" ht="15.95" customHeight="1" x14ac:dyDescent="0.25">
      <c r="A74" s="15"/>
      <c r="B74" s="3"/>
      <c r="C74" s="16"/>
      <c r="D74" s="16"/>
      <c r="E74" s="17" t="str">
        <f t="shared" si="2"/>
        <v/>
      </c>
    </row>
    <row r="75" spans="1:5" ht="15.95" customHeight="1" x14ac:dyDescent="0.25">
      <c r="A75" s="15"/>
      <c r="B75" s="3"/>
      <c r="C75" s="16"/>
      <c r="D75" s="16"/>
      <c r="E75" s="18" t="str">
        <f t="shared" si="2"/>
        <v/>
      </c>
    </row>
    <row r="76" spans="1:5" ht="15.95" customHeight="1" x14ac:dyDescent="0.25">
      <c r="A76" s="15"/>
      <c r="B76" s="3"/>
      <c r="C76" s="16"/>
      <c r="D76" s="16"/>
      <c r="E76" s="17" t="str">
        <f t="shared" si="2"/>
        <v/>
      </c>
    </row>
    <row r="77" spans="1:5" ht="15.95" customHeight="1" x14ac:dyDescent="0.25">
      <c r="A77" s="15"/>
      <c r="B77" s="3"/>
      <c r="C77" s="16"/>
      <c r="D77" s="16"/>
      <c r="E77" s="18" t="str">
        <f t="shared" si="2"/>
        <v/>
      </c>
    </row>
    <row r="78" spans="1:5" ht="15.95" customHeight="1" x14ac:dyDescent="0.25">
      <c r="A78" s="15"/>
      <c r="B78" s="3"/>
      <c r="C78" s="16"/>
      <c r="D78" s="16"/>
      <c r="E78" s="17" t="str">
        <f t="shared" si="2"/>
        <v/>
      </c>
    </row>
    <row r="79" spans="1:5" ht="15.95" customHeight="1" x14ac:dyDescent="0.25">
      <c r="A79" s="15"/>
      <c r="B79" s="3"/>
      <c r="C79" s="16"/>
      <c r="D79" s="16"/>
      <c r="E79" s="18" t="str">
        <f t="shared" si="2"/>
        <v/>
      </c>
    </row>
    <row r="80" spans="1:5" ht="15.95" customHeight="1" x14ac:dyDescent="0.25">
      <c r="A80" s="15"/>
      <c r="B80" s="3"/>
      <c r="C80" s="16"/>
      <c r="D80" s="16"/>
      <c r="E80" s="17" t="str">
        <f t="shared" si="2"/>
        <v/>
      </c>
    </row>
    <row r="81" spans="1:5" ht="15.95" customHeight="1" x14ac:dyDescent="0.25">
      <c r="A81" s="15"/>
      <c r="B81" s="3"/>
      <c r="C81" s="16"/>
      <c r="D81" s="16"/>
      <c r="E81" s="18" t="str">
        <f t="shared" si="2"/>
        <v/>
      </c>
    </row>
    <row r="82" spans="1:5" ht="15.95" customHeight="1" x14ac:dyDescent="0.25">
      <c r="A82" s="15"/>
      <c r="B82" s="3"/>
      <c r="C82" s="16"/>
      <c r="D82" s="16"/>
      <c r="E82" s="17" t="str">
        <f t="shared" si="2"/>
        <v/>
      </c>
    </row>
    <row r="83" spans="1:5" ht="15.95" customHeight="1" x14ac:dyDescent="0.25">
      <c r="A83" s="15"/>
      <c r="B83" s="3"/>
      <c r="C83" s="16"/>
      <c r="D83" s="16"/>
      <c r="E83" s="18" t="str">
        <f t="shared" si="2"/>
        <v/>
      </c>
    </row>
    <row r="84" spans="1:5" ht="15.95" customHeight="1" x14ac:dyDescent="0.25">
      <c r="A84" s="15"/>
      <c r="B84" s="3"/>
      <c r="C84" s="16"/>
      <c r="D84" s="16"/>
      <c r="E84" s="17" t="str">
        <f t="shared" si="2"/>
        <v/>
      </c>
    </row>
    <row r="85" spans="1:5" ht="15.95" customHeight="1" x14ac:dyDescent="0.25">
      <c r="A85" s="15"/>
      <c r="B85" s="3"/>
      <c r="C85" s="16"/>
      <c r="D85" s="16"/>
      <c r="E85" s="18" t="str">
        <f t="shared" si="2"/>
        <v/>
      </c>
    </row>
    <row r="86" spans="1:5" ht="15.95" customHeight="1" x14ac:dyDescent="0.25">
      <c r="A86" s="15"/>
      <c r="B86" s="3"/>
      <c r="C86" s="16"/>
      <c r="D86" s="16"/>
      <c r="E86" s="17" t="str">
        <f t="shared" si="2"/>
        <v/>
      </c>
    </row>
    <row r="87" spans="1:5" ht="15.95" customHeight="1" x14ac:dyDescent="0.25">
      <c r="A87" s="15"/>
      <c r="B87" s="3"/>
      <c r="C87" s="16"/>
      <c r="D87" s="16"/>
      <c r="E87" s="18" t="str">
        <f t="shared" si="2"/>
        <v/>
      </c>
    </row>
    <row r="88" spans="1:5" ht="15.95" customHeight="1" x14ac:dyDescent="0.25">
      <c r="A88" s="15"/>
      <c r="B88" s="3"/>
      <c r="C88" s="16"/>
      <c r="D88" s="16"/>
      <c r="E88" s="17" t="str">
        <f t="shared" si="2"/>
        <v/>
      </c>
    </row>
    <row r="89" spans="1:5" ht="15.95" customHeight="1" x14ac:dyDescent="0.25">
      <c r="A89" s="15"/>
      <c r="B89" s="3"/>
      <c r="C89" s="16"/>
      <c r="D89" s="16"/>
      <c r="E89" s="18" t="str">
        <f t="shared" si="2"/>
        <v/>
      </c>
    </row>
    <row r="90" spans="1:5" ht="15.95" customHeight="1" x14ac:dyDescent="0.25">
      <c r="A90" s="15"/>
      <c r="B90" s="3"/>
      <c r="C90" s="16"/>
      <c r="D90" s="16"/>
      <c r="E90" s="17" t="str">
        <f t="shared" si="2"/>
        <v/>
      </c>
    </row>
    <row r="91" spans="1:5" ht="15.95" customHeight="1" x14ac:dyDescent="0.25">
      <c r="A91" s="15"/>
      <c r="B91" s="3"/>
      <c r="C91" s="16"/>
      <c r="D91" s="16"/>
      <c r="E91" s="18" t="str">
        <f t="shared" si="2"/>
        <v/>
      </c>
    </row>
    <row r="92" spans="1:5" ht="15.95" customHeight="1" x14ac:dyDescent="0.25">
      <c r="A92" s="15"/>
      <c r="B92" s="3"/>
      <c r="C92" s="16"/>
      <c r="D92" s="16"/>
      <c r="E92" s="17" t="str">
        <f t="shared" si="2"/>
        <v/>
      </c>
    </row>
    <row r="93" spans="1:5" ht="15.95" customHeight="1" x14ac:dyDescent="0.25">
      <c r="A93" s="15"/>
      <c r="B93" s="3"/>
      <c r="C93" s="16"/>
      <c r="D93" s="16"/>
      <c r="E93" s="18" t="str">
        <f t="shared" si="2"/>
        <v/>
      </c>
    </row>
    <row r="94" spans="1:5" ht="15.95" customHeight="1" x14ac:dyDescent="0.25">
      <c r="A94" s="15"/>
      <c r="B94" s="3"/>
      <c r="C94" s="16"/>
      <c r="D94" s="16"/>
      <c r="E94" s="17" t="str">
        <f t="shared" si="2"/>
        <v/>
      </c>
    </row>
    <row r="95" spans="1:5" ht="15.95" customHeight="1" x14ac:dyDescent="0.25">
      <c r="A95" s="15"/>
      <c r="B95" s="3"/>
      <c r="C95" s="16"/>
      <c r="D95" s="16"/>
      <c r="E95" s="18" t="str">
        <f t="shared" si="2"/>
        <v/>
      </c>
    </row>
    <row r="96" spans="1:5" ht="15.95" customHeight="1" x14ac:dyDescent="0.25">
      <c r="A96" s="15"/>
      <c r="B96" s="3"/>
      <c r="C96" s="16"/>
      <c r="D96" s="16"/>
      <c r="E96" s="17" t="str">
        <f t="shared" si="2"/>
        <v/>
      </c>
    </row>
    <row r="97" spans="1:5" ht="15.95" customHeight="1" x14ac:dyDescent="0.25">
      <c r="A97" s="15"/>
      <c r="B97" s="3"/>
      <c r="C97" s="16"/>
      <c r="D97" s="16"/>
      <c r="E97" s="18" t="str">
        <f t="shared" si="2"/>
        <v/>
      </c>
    </row>
    <row r="98" spans="1:5" ht="15.95" customHeight="1" x14ac:dyDescent="0.25">
      <c r="A98" s="15"/>
      <c r="B98" s="3"/>
      <c r="C98" s="16"/>
      <c r="D98" s="16"/>
      <c r="E98" s="17" t="str">
        <f t="shared" si="2"/>
        <v/>
      </c>
    </row>
    <row r="99" spans="1:5" ht="15.95" customHeight="1" x14ac:dyDescent="0.25">
      <c r="A99" s="15"/>
      <c r="B99" s="3"/>
      <c r="C99" s="16"/>
      <c r="D99" s="16"/>
      <c r="E99" s="18" t="str">
        <f t="shared" si="2"/>
        <v/>
      </c>
    </row>
    <row r="100" spans="1:5" ht="15.95" customHeight="1" x14ac:dyDescent="0.25">
      <c r="A100" s="15"/>
      <c r="B100" s="3"/>
      <c r="C100" s="16"/>
      <c r="D100" s="16"/>
      <c r="E100" s="17" t="str">
        <f t="shared" si="2"/>
        <v/>
      </c>
    </row>
    <row r="101" spans="1:5" ht="15.95" customHeight="1" x14ac:dyDescent="0.25">
      <c r="A101" s="15"/>
      <c r="B101" s="3"/>
      <c r="C101" s="16"/>
      <c r="D101" s="16"/>
      <c r="E101" s="18" t="str">
        <f t="shared" si="2"/>
        <v/>
      </c>
    </row>
    <row r="102" spans="1:5" ht="15.95" customHeight="1" x14ac:dyDescent="0.25">
      <c r="A102" s="15"/>
      <c r="B102" s="3"/>
      <c r="C102" s="16"/>
      <c r="D102" s="16"/>
      <c r="E102" s="17" t="str">
        <f t="shared" si="2"/>
        <v/>
      </c>
    </row>
    <row r="103" spans="1:5" ht="15.95" customHeight="1" x14ac:dyDescent="0.25">
      <c r="A103" s="15"/>
      <c r="B103" s="3"/>
      <c r="C103" s="16"/>
      <c r="D103" s="16"/>
      <c r="E103" s="18" t="str">
        <f t="shared" si="2"/>
        <v/>
      </c>
    </row>
    <row r="104" spans="1:5" ht="15.95" customHeight="1" x14ac:dyDescent="0.25">
      <c r="A104" s="15"/>
      <c r="B104" s="3"/>
      <c r="C104" s="16"/>
      <c r="D104" s="16"/>
      <c r="E104" s="17" t="str">
        <f t="shared" ref="E104:E135" si="3">IF(AND(C104="",D104=""),"",C104-D104)</f>
        <v/>
      </c>
    </row>
    <row r="105" spans="1:5" ht="15.95" customHeight="1" x14ac:dyDescent="0.25">
      <c r="A105" s="15"/>
      <c r="B105" s="3"/>
      <c r="C105" s="16"/>
      <c r="D105" s="16"/>
      <c r="E105" s="18" t="str">
        <f t="shared" si="3"/>
        <v/>
      </c>
    </row>
    <row r="106" spans="1:5" ht="15.95" customHeight="1" x14ac:dyDescent="0.25">
      <c r="A106" s="15"/>
      <c r="B106" s="3"/>
      <c r="C106" s="16"/>
      <c r="D106" s="16"/>
      <c r="E106" s="17" t="str">
        <f t="shared" si="3"/>
        <v/>
      </c>
    </row>
    <row r="107" spans="1:5" ht="15.95" customHeight="1" x14ac:dyDescent="0.25">
      <c r="A107" s="15"/>
      <c r="B107" s="3"/>
      <c r="C107" s="16"/>
      <c r="D107" s="16"/>
      <c r="E107" s="18" t="str">
        <f t="shared" si="3"/>
        <v/>
      </c>
    </row>
    <row r="108" spans="1:5" ht="15.95" customHeight="1" x14ac:dyDescent="0.25">
      <c r="A108" s="15"/>
      <c r="B108" s="3"/>
      <c r="C108" s="16"/>
      <c r="D108" s="16"/>
      <c r="E108" s="17" t="str">
        <f t="shared" si="3"/>
        <v/>
      </c>
    </row>
    <row r="109" spans="1:5" ht="15.95" customHeight="1" x14ac:dyDescent="0.25">
      <c r="A109" s="15"/>
      <c r="B109" s="3"/>
      <c r="C109" s="16"/>
      <c r="D109" s="16"/>
      <c r="E109" s="18" t="str">
        <f t="shared" si="3"/>
        <v/>
      </c>
    </row>
    <row r="110" spans="1:5" ht="15.95" customHeight="1" x14ac:dyDescent="0.25">
      <c r="A110" s="15"/>
      <c r="B110" s="3"/>
      <c r="C110" s="16"/>
      <c r="D110" s="16"/>
      <c r="E110" s="17" t="str">
        <f t="shared" si="3"/>
        <v/>
      </c>
    </row>
    <row r="111" spans="1:5" ht="15.95" customHeight="1" x14ac:dyDescent="0.25">
      <c r="A111" s="15"/>
      <c r="B111" s="3"/>
      <c r="C111" s="16"/>
      <c r="D111" s="16"/>
      <c r="E111" s="18" t="str">
        <f t="shared" si="3"/>
        <v/>
      </c>
    </row>
    <row r="112" spans="1:5" ht="15.95" customHeight="1" x14ac:dyDescent="0.25">
      <c r="A112" s="15"/>
      <c r="B112" s="3"/>
      <c r="C112" s="16"/>
      <c r="D112" s="16"/>
      <c r="E112" s="17" t="str">
        <f t="shared" si="3"/>
        <v/>
      </c>
    </row>
    <row r="113" spans="1:5" ht="15.95" customHeight="1" x14ac:dyDescent="0.25">
      <c r="A113" s="15"/>
      <c r="B113" s="3"/>
      <c r="C113" s="16"/>
      <c r="D113" s="16"/>
      <c r="E113" s="18" t="str">
        <f t="shared" si="3"/>
        <v/>
      </c>
    </row>
    <row r="114" spans="1:5" ht="15.95" customHeight="1" x14ac:dyDescent="0.25">
      <c r="A114" s="15"/>
      <c r="B114" s="3"/>
      <c r="C114" s="16"/>
      <c r="D114" s="16"/>
      <c r="E114" s="17" t="str">
        <f t="shared" si="3"/>
        <v/>
      </c>
    </row>
    <row r="115" spans="1:5" ht="15.95" customHeight="1" x14ac:dyDescent="0.25">
      <c r="A115" s="15"/>
      <c r="B115" s="3"/>
      <c r="C115" s="16"/>
      <c r="D115" s="16"/>
      <c r="E115" s="18" t="str">
        <f t="shared" si="3"/>
        <v/>
      </c>
    </row>
    <row r="116" spans="1:5" ht="15.95" customHeight="1" x14ac:dyDescent="0.25">
      <c r="A116" s="15"/>
      <c r="B116" s="3"/>
      <c r="C116" s="16"/>
      <c r="D116" s="16"/>
      <c r="E116" s="17" t="str">
        <f t="shared" si="3"/>
        <v/>
      </c>
    </row>
    <row r="117" spans="1:5" ht="15.95" customHeight="1" x14ac:dyDescent="0.25">
      <c r="A117" s="15"/>
      <c r="B117" s="3"/>
      <c r="C117" s="16"/>
      <c r="D117" s="16"/>
      <c r="E117" s="18" t="str">
        <f t="shared" si="3"/>
        <v/>
      </c>
    </row>
    <row r="118" spans="1:5" ht="15.95" customHeight="1" x14ac:dyDescent="0.25">
      <c r="A118" s="15"/>
      <c r="B118" s="3"/>
      <c r="C118" s="16"/>
      <c r="D118" s="16"/>
      <c r="E118" s="17" t="str">
        <f t="shared" si="3"/>
        <v/>
      </c>
    </row>
    <row r="119" spans="1:5" ht="15.95" customHeight="1" x14ac:dyDescent="0.25">
      <c r="A119" s="15"/>
      <c r="B119" s="3"/>
      <c r="C119" s="16"/>
      <c r="D119" s="16"/>
      <c r="E119" s="18" t="str">
        <f t="shared" si="3"/>
        <v/>
      </c>
    </row>
    <row r="120" spans="1:5" ht="15.95" customHeight="1" x14ac:dyDescent="0.25">
      <c r="A120" s="15"/>
      <c r="B120" s="3"/>
      <c r="C120" s="16"/>
      <c r="D120" s="16"/>
      <c r="E120" s="17" t="str">
        <f t="shared" si="3"/>
        <v/>
      </c>
    </row>
    <row r="121" spans="1:5" ht="15.95" customHeight="1" x14ac:dyDescent="0.25">
      <c r="A121" s="15"/>
      <c r="B121" s="3"/>
      <c r="C121" s="16"/>
      <c r="D121" s="16"/>
      <c r="E121" s="18" t="str">
        <f t="shared" si="3"/>
        <v/>
      </c>
    </row>
    <row r="122" spans="1:5" ht="15.95" customHeight="1" x14ac:dyDescent="0.25">
      <c r="A122" s="15"/>
      <c r="B122" s="3"/>
      <c r="C122" s="16"/>
      <c r="D122" s="16"/>
      <c r="E122" s="17" t="str">
        <f t="shared" si="3"/>
        <v/>
      </c>
    </row>
    <row r="123" spans="1:5" ht="15.95" customHeight="1" x14ac:dyDescent="0.25">
      <c r="A123" s="15"/>
      <c r="B123" s="3"/>
      <c r="C123" s="16"/>
      <c r="D123" s="16"/>
      <c r="E123" s="18" t="str">
        <f t="shared" si="3"/>
        <v/>
      </c>
    </row>
    <row r="124" spans="1:5" ht="15.95" customHeight="1" x14ac:dyDescent="0.25">
      <c r="A124" s="15"/>
      <c r="B124" s="3"/>
      <c r="C124" s="16"/>
      <c r="D124" s="16"/>
      <c r="E124" s="17" t="str">
        <f t="shared" si="3"/>
        <v/>
      </c>
    </row>
    <row r="125" spans="1:5" ht="15.95" customHeight="1" x14ac:dyDescent="0.25">
      <c r="A125" s="15"/>
      <c r="B125" s="3"/>
      <c r="C125" s="16"/>
      <c r="D125" s="16"/>
      <c r="E125" s="18" t="str">
        <f t="shared" si="3"/>
        <v/>
      </c>
    </row>
    <row r="126" spans="1:5" ht="15.95" customHeight="1" x14ac:dyDescent="0.25">
      <c r="A126" s="15"/>
      <c r="B126" s="3"/>
      <c r="C126" s="16"/>
      <c r="D126" s="16"/>
      <c r="E126" s="17" t="str">
        <f t="shared" si="3"/>
        <v/>
      </c>
    </row>
    <row r="127" spans="1:5" ht="15.95" customHeight="1" x14ac:dyDescent="0.25">
      <c r="A127" s="15"/>
      <c r="B127" s="3"/>
      <c r="C127" s="16"/>
      <c r="D127" s="16"/>
      <c r="E127" s="18" t="str">
        <f t="shared" si="3"/>
        <v/>
      </c>
    </row>
    <row r="128" spans="1:5" ht="15.95" customHeight="1" x14ac:dyDescent="0.25">
      <c r="A128" s="15"/>
      <c r="B128" s="3"/>
      <c r="C128" s="16"/>
      <c r="D128" s="16"/>
      <c r="E128" s="17" t="str">
        <f t="shared" si="3"/>
        <v/>
      </c>
    </row>
    <row r="129" spans="1:5" ht="15.95" customHeight="1" x14ac:dyDescent="0.25">
      <c r="A129" s="15"/>
      <c r="B129" s="3"/>
      <c r="C129" s="16"/>
      <c r="D129" s="16"/>
      <c r="E129" s="18" t="str">
        <f t="shared" si="3"/>
        <v/>
      </c>
    </row>
    <row r="130" spans="1:5" ht="15.95" customHeight="1" x14ac:dyDescent="0.25">
      <c r="A130" s="15"/>
      <c r="B130" s="3"/>
      <c r="C130" s="16"/>
      <c r="D130" s="16"/>
      <c r="E130" s="17" t="str">
        <f t="shared" si="3"/>
        <v/>
      </c>
    </row>
    <row r="131" spans="1:5" ht="15.95" customHeight="1" x14ac:dyDescent="0.25">
      <c r="A131" s="15"/>
      <c r="B131" s="3"/>
      <c r="C131" s="16"/>
      <c r="D131" s="16"/>
      <c r="E131" s="18" t="str">
        <f t="shared" si="3"/>
        <v/>
      </c>
    </row>
    <row r="132" spans="1:5" ht="15.95" customHeight="1" x14ac:dyDescent="0.25">
      <c r="A132" s="15"/>
      <c r="B132" s="3"/>
      <c r="C132" s="16"/>
      <c r="D132" s="16"/>
      <c r="E132" s="17" t="str">
        <f t="shared" si="3"/>
        <v/>
      </c>
    </row>
    <row r="133" spans="1:5" ht="15.95" customHeight="1" x14ac:dyDescent="0.25">
      <c r="A133" s="15"/>
      <c r="B133" s="3"/>
      <c r="C133" s="16"/>
      <c r="D133" s="16"/>
      <c r="E133" s="18" t="str">
        <f t="shared" si="3"/>
        <v/>
      </c>
    </row>
    <row r="134" spans="1:5" ht="15.95" customHeight="1" x14ac:dyDescent="0.25">
      <c r="A134" s="15"/>
      <c r="B134" s="3"/>
      <c r="C134" s="16"/>
      <c r="D134" s="16"/>
      <c r="E134" s="17" t="str">
        <f t="shared" si="3"/>
        <v/>
      </c>
    </row>
    <row r="135" spans="1:5" ht="15.95" customHeight="1" x14ac:dyDescent="0.25">
      <c r="A135" s="15"/>
      <c r="B135" s="3"/>
      <c r="C135" s="16"/>
      <c r="D135" s="16"/>
      <c r="E135" s="18" t="str">
        <f t="shared" si="3"/>
        <v/>
      </c>
    </row>
    <row r="136" spans="1:5" ht="15.95" customHeight="1" x14ac:dyDescent="0.25">
      <c r="A136" s="15"/>
      <c r="B136" s="3"/>
      <c r="C136" s="16"/>
      <c r="D136" s="16"/>
      <c r="E136" s="17" t="str">
        <f t="shared" ref="E136:E167" si="4">IF(AND(C136="",D136=""),"",C136-D136)</f>
        <v/>
      </c>
    </row>
    <row r="137" spans="1:5" ht="15.95" customHeight="1" x14ac:dyDescent="0.25">
      <c r="A137" s="15"/>
      <c r="B137" s="3"/>
      <c r="C137" s="16"/>
      <c r="D137" s="16"/>
      <c r="E137" s="18" t="str">
        <f t="shared" si="4"/>
        <v/>
      </c>
    </row>
    <row r="138" spans="1:5" ht="15.95" customHeight="1" x14ac:dyDescent="0.25">
      <c r="A138" s="15"/>
      <c r="B138" s="3"/>
      <c r="C138" s="16"/>
      <c r="D138" s="16"/>
      <c r="E138" s="17" t="str">
        <f t="shared" si="4"/>
        <v/>
      </c>
    </row>
    <row r="139" spans="1:5" ht="15.95" customHeight="1" x14ac:dyDescent="0.25">
      <c r="A139" s="15"/>
      <c r="B139" s="3"/>
      <c r="C139" s="16"/>
      <c r="D139" s="16"/>
      <c r="E139" s="18" t="str">
        <f t="shared" si="4"/>
        <v/>
      </c>
    </row>
    <row r="140" spans="1:5" ht="15.95" customHeight="1" x14ac:dyDescent="0.25">
      <c r="A140" s="15"/>
      <c r="B140" s="3"/>
      <c r="C140" s="16"/>
      <c r="D140" s="16"/>
      <c r="E140" s="17" t="str">
        <f t="shared" si="4"/>
        <v/>
      </c>
    </row>
    <row r="141" spans="1:5" ht="15.95" customHeight="1" x14ac:dyDescent="0.25">
      <c r="A141" s="15"/>
      <c r="B141" s="3"/>
      <c r="C141" s="16"/>
      <c r="D141" s="16"/>
      <c r="E141" s="18" t="str">
        <f t="shared" si="4"/>
        <v/>
      </c>
    </row>
    <row r="142" spans="1:5" ht="15.95" customHeight="1" x14ac:dyDescent="0.25">
      <c r="A142" s="15"/>
      <c r="B142" s="3"/>
      <c r="C142" s="16"/>
      <c r="D142" s="16"/>
      <c r="E142" s="17" t="str">
        <f t="shared" si="4"/>
        <v/>
      </c>
    </row>
    <row r="143" spans="1:5" ht="15.95" customHeight="1" x14ac:dyDescent="0.25">
      <c r="A143" s="15"/>
      <c r="B143" s="3"/>
      <c r="C143" s="16"/>
      <c r="D143" s="16"/>
      <c r="E143" s="18" t="str">
        <f t="shared" si="4"/>
        <v/>
      </c>
    </row>
    <row r="144" spans="1:5" ht="15.95" customHeight="1" x14ac:dyDescent="0.25">
      <c r="A144" s="15"/>
      <c r="B144" s="3"/>
      <c r="C144" s="16"/>
      <c r="D144" s="16"/>
      <c r="E144" s="17" t="str">
        <f t="shared" si="4"/>
        <v/>
      </c>
    </row>
    <row r="145" spans="1:5" ht="15.95" customHeight="1" x14ac:dyDescent="0.25">
      <c r="A145" s="15"/>
      <c r="B145" s="3"/>
      <c r="C145" s="16"/>
      <c r="D145" s="16"/>
      <c r="E145" s="18" t="str">
        <f t="shared" si="4"/>
        <v/>
      </c>
    </row>
    <row r="146" spans="1:5" ht="15.95" customHeight="1" x14ac:dyDescent="0.25">
      <c r="A146" s="15"/>
      <c r="B146" s="3"/>
      <c r="C146" s="16"/>
      <c r="D146" s="16"/>
      <c r="E146" s="17" t="str">
        <f t="shared" si="4"/>
        <v/>
      </c>
    </row>
    <row r="147" spans="1:5" ht="15.95" customHeight="1" x14ac:dyDescent="0.25">
      <c r="A147" s="15"/>
      <c r="B147" s="3"/>
      <c r="C147" s="16"/>
      <c r="D147" s="16"/>
      <c r="E147" s="18" t="str">
        <f t="shared" si="4"/>
        <v/>
      </c>
    </row>
    <row r="148" spans="1:5" ht="15.95" customHeight="1" x14ac:dyDescent="0.25">
      <c r="A148" s="15"/>
      <c r="B148" s="3"/>
      <c r="C148" s="16"/>
      <c r="D148" s="16"/>
      <c r="E148" s="17" t="str">
        <f t="shared" si="4"/>
        <v/>
      </c>
    </row>
    <row r="149" spans="1:5" ht="15.95" customHeight="1" x14ac:dyDescent="0.25">
      <c r="A149" s="15"/>
      <c r="B149" s="3"/>
      <c r="C149" s="16"/>
      <c r="D149" s="16"/>
      <c r="E149" s="18" t="str">
        <f t="shared" si="4"/>
        <v/>
      </c>
    </row>
    <row r="150" spans="1:5" ht="15.95" customHeight="1" x14ac:dyDescent="0.25">
      <c r="A150" s="15"/>
      <c r="B150" s="3"/>
      <c r="C150" s="16"/>
      <c r="D150" s="16"/>
      <c r="E150" s="17" t="str">
        <f t="shared" si="4"/>
        <v/>
      </c>
    </row>
    <row r="151" spans="1:5" ht="15.95" customHeight="1" x14ac:dyDescent="0.25">
      <c r="A151" s="15"/>
      <c r="B151" s="3"/>
      <c r="C151" s="16"/>
      <c r="D151" s="16"/>
      <c r="E151" s="18" t="str">
        <f t="shared" si="4"/>
        <v/>
      </c>
    </row>
    <row r="152" spans="1:5" ht="15.95" customHeight="1" x14ac:dyDescent="0.25">
      <c r="A152" s="15"/>
      <c r="B152" s="3"/>
      <c r="C152" s="16"/>
      <c r="D152" s="16"/>
      <c r="E152" s="17" t="str">
        <f t="shared" si="4"/>
        <v/>
      </c>
    </row>
    <row r="153" spans="1:5" ht="15.95" customHeight="1" x14ac:dyDescent="0.25">
      <c r="A153" s="15"/>
      <c r="B153" s="3"/>
      <c r="C153" s="16"/>
      <c r="D153" s="16"/>
      <c r="E153" s="18" t="str">
        <f t="shared" si="4"/>
        <v/>
      </c>
    </row>
    <row r="154" spans="1:5" ht="15.95" customHeight="1" x14ac:dyDescent="0.25">
      <c r="A154" s="15"/>
      <c r="B154" s="3"/>
      <c r="C154" s="16"/>
      <c r="D154" s="16"/>
      <c r="E154" s="17" t="str">
        <f t="shared" si="4"/>
        <v/>
      </c>
    </row>
    <row r="155" spans="1:5" ht="15.95" customHeight="1" x14ac:dyDescent="0.25">
      <c r="A155" s="15"/>
      <c r="B155" s="3"/>
      <c r="C155" s="16"/>
      <c r="D155" s="16"/>
      <c r="E155" s="18" t="str">
        <f t="shared" si="4"/>
        <v/>
      </c>
    </row>
    <row r="156" spans="1:5" ht="15.95" customHeight="1" x14ac:dyDescent="0.25">
      <c r="A156" s="15"/>
      <c r="B156" s="3"/>
      <c r="C156" s="16"/>
      <c r="D156" s="16"/>
      <c r="E156" s="17" t="str">
        <f t="shared" si="4"/>
        <v/>
      </c>
    </row>
    <row r="157" spans="1:5" ht="15.95" customHeight="1" x14ac:dyDescent="0.25">
      <c r="A157" s="15"/>
      <c r="B157" s="3"/>
      <c r="C157" s="16"/>
      <c r="D157" s="16"/>
      <c r="E157" s="18" t="str">
        <f t="shared" si="4"/>
        <v/>
      </c>
    </row>
    <row r="158" spans="1:5" ht="15.95" customHeight="1" x14ac:dyDescent="0.25">
      <c r="A158" s="15"/>
      <c r="B158" s="3"/>
      <c r="C158" s="16"/>
      <c r="D158" s="16"/>
      <c r="E158" s="17" t="str">
        <f t="shared" si="4"/>
        <v/>
      </c>
    </row>
    <row r="159" spans="1:5" ht="15.95" customHeight="1" x14ac:dyDescent="0.25">
      <c r="A159" s="15"/>
      <c r="B159" s="3"/>
      <c r="C159" s="16"/>
      <c r="D159" s="16"/>
      <c r="E159" s="18" t="str">
        <f t="shared" si="4"/>
        <v/>
      </c>
    </row>
    <row r="160" spans="1:5" ht="15.95" customHeight="1" x14ac:dyDescent="0.25">
      <c r="A160" s="15"/>
      <c r="B160" s="3"/>
      <c r="C160" s="16"/>
      <c r="D160" s="16"/>
      <c r="E160" s="17" t="str">
        <f t="shared" si="4"/>
        <v/>
      </c>
    </row>
    <row r="161" spans="1:5" ht="15.95" customHeight="1" x14ac:dyDescent="0.25">
      <c r="A161" s="15"/>
      <c r="B161" s="3"/>
      <c r="C161" s="16"/>
      <c r="D161" s="16"/>
      <c r="E161" s="18" t="str">
        <f t="shared" si="4"/>
        <v/>
      </c>
    </row>
    <row r="162" spans="1:5" ht="15.95" customHeight="1" x14ac:dyDescent="0.25">
      <c r="A162" s="15"/>
      <c r="B162" s="3"/>
      <c r="C162" s="16"/>
      <c r="D162" s="16"/>
      <c r="E162" s="17" t="str">
        <f t="shared" si="4"/>
        <v/>
      </c>
    </row>
    <row r="163" spans="1:5" ht="15.95" customHeight="1" x14ac:dyDescent="0.25">
      <c r="A163" s="15"/>
      <c r="B163" s="3"/>
      <c r="C163" s="16"/>
      <c r="D163" s="16"/>
      <c r="E163" s="18" t="str">
        <f t="shared" si="4"/>
        <v/>
      </c>
    </row>
    <row r="164" spans="1:5" ht="15.95" customHeight="1" x14ac:dyDescent="0.25">
      <c r="A164" s="15"/>
      <c r="B164" s="3"/>
      <c r="C164" s="16"/>
      <c r="D164" s="16"/>
      <c r="E164" s="17" t="str">
        <f t="shared" si="4"/>
        <v/>
      </c>
    </row>
    <row r="165" spans="1:5" ht="15.95" customHeight="1" x14ac:dyDescent="0.25">
      <c r="A165" s="15"/>
      <c r="B165" s="3"/>
      <c r="C165" s="16"/>
      <c r="D165" s="16"/>
      <c r="E165" s="18" t="str">
        <f t="shared" si="4"/>
        <v/>
      </c>
    </row>
    <row r="166" spans="1:5" ht="15.95" customHeight="1" x14ac:dyDescent="0.25">
      <c r="A166" s="15"/>
      <c r="B166" s="3"/>
      <c r="C166" s="16"/>
      <c r="D166" s="16"/>
      <c r="E166" s="17" t="str">
        <f t="shared" si="4"/>
        <v/>
      </c>
    </row>
    <row r="167" spans="1:5" ht="15.95" customHeight="1" x14ac:dyDescent="0.25">
      <c r="A167" s="15"/>
      <c r="B167" s="3"/>
      <c r="C167" s="16"/>
      <c r="D167" s="16"/>
      <c r="E167" s="18" t="str">
        <f t="shared" si="4"/>
        <v/>
      </c>
    </row>
    <row r="168" spans="1:5" ht="15.95" customHeight="1" x14ac:dyDescent="0.25">
      <c r="A168" s="15"/>
      <c r="B168" s="3"/>
      <c r="C168" s="16"/>
      <c r="D168" s="16"/>
      <c r="E168" s="17" t="str">
        <f t="shared" ref="E168:E199" si="5">IF(AND(C168="",D168=""),"",C168-D168)</f>
        <v/>
      </c>
    </row>
    <row r="169" spans="1:5" ht="15.95" customHeight="1" x14ac:dyDescent="0.25">
      <c r="A169" s="15"/>
      <c r="B169" s="3"/>
      <c r="C169" s="16"/>
      <c r="D169" s="16"/>
      <c r="E169" s="18" t="str">
        <f t="shared" si="5"/>
        <v/>
      </c>
    </row>
    <row r="170" spans="1:5" ht="15.95" customHeight="1" x14ac:dyDescent="0.25">
      <c r="A170" s="15"/>
      <c r="B170" s="3"/>
      <c r="C170" s="16"/>
      <c r="D170" s="16"/>
      <c r="E170" s="17" t="str">
        <f t="shared" si="5"/>
        <v/>
      </c>
    </row>
    <row r="171" spans="1:5" ht="15.95" customHeight="1" x14ac:dyDescent="0.25">
      <c r="A171" s="15"/>
      <c r="B171" s="3"/>
      <c r="C171" s="16"/>
      <c r="D171" s="16"/>
      <c r="E171" s="18" t="str">
        <f t="shared" si="5"/>
        <v/>
      </c>
    </row>
    <row r="172" spans="1:5" ht="15.95" customHeight="1" x14ac:dyDescent="0.25">
      <c r="A172" s="15"/>
      <c r="B172" s="3"/>
      <c r="C172" s="16"/>
      <c r="D172" s="16"/>
      <c r="E172" s="17" t="str">
        <f t="shared" si="5"/>
        <v/>
      </c>
    </row>
    <row r="173" spans="1:5" ht="15.95" customHeight="1" x14ac:dyDescent="0.25">
      <c r="A173" s="15"/>
      <c r="B173" s="3"/>
      <c r="C173" s="16"/>
      <c r="D173" s="16"/>
      <c r="E173" s="18" t="str">
        <f t="shared" si="5"/>
        <v/>
      </c>
    </row>
    <row r="174" spans="1:5" ht="15.95" customHeight="1" x14ac:dyDescent="0.25">
      <c r="A174" s="15"/>
      <c r="B174" s="3"/>
      <c r="C174" s="16"/>
      <c r="D174" s="16"/>
      <c r="E174" s="17" t="str">
        <f t="shared" si="5"/>
        <v/>
      </c>
    </row>
    <row r="175" spans="1:5" ht="15.95" customHeight="1" x14ac:dyDescent="0.25">
      <c r="A175" s="15"/>
      <c r="B175" s="3"/>
      <c r="C175" s="16"/>
      <c r="D175" s="16"/>
      <c r="E175" s="18" t="str">
        <f t="shared" si="5"/>
        <v/>
      </c>
    </row>
    <row r="176" spans="1:5" ht="15.95" customHeight="1" x14ac:dyDescent="0.25">
      <c r="A176" s="15"/>
      <c r="B176" s="3"/>
      <c r="C176" s="16"/>
      <c r="D176" s="16"/>
      <c r="E176" s="17" t="str">
        <f t="shared" si="5"/>
        <v/>
      </c>
    </row>
    <row r="177" spans="1:5" ht="15.95" customHeight="1" x14ac:dyDescent="0.25">
      <c r="A177" s="15"/>
      <c r="B177" s="3"/>
      <c r="C177" s="16"/>
      <c r="D177" s="16"/>
      <c r="E177" s="18" t="str">
        <f t="shared" si="5"/>
        <v/>
      </c>
    </row>
    <row r="178" spans="1:5" ht="15.95" customHeight="1" x14ac:dyDescent="0.25">
      <c r="A178" s="15"/>
      <c r="B178" s="3"/>
      <c r="C178" s="16"/>
      <c r="D178" s="16"/>
      <c r="E178" s="17" t="str">
        <f t="shared" si="5"/>
        <v/>
      </c>
    </row>
    <row r="179" spans="1:5" ht="15.95" customHeight="1" x14ac:dyDescent="0.25">
      <c r="A179" s="15"/>
      <c r="B179" s="3"/>
      <c r="C179" s="16"/>
      <c r="D179" s="16"/>
      <c r="E179" s="18" t="str">
        <f t="shared" si="5"/>
        <v/>
      </c>
    </row>
    <row r="180" spans="1:5" ht="15.95" customHeight="1" x14ac:dyDescent="0.25">
      <c r="A180" s="15"/>
      <c r="B180" s="3"/>
      <c r="C180" s="16"/>
      <c r="D180" s="16"/>
      <c r="E180" s="17" t="str">
        <f t="shared" si="5"/>
        <v/>
      </c>
    </row>
    <row r="181" spans="1:5" ht="15.95" customHeight="1" x14ac:dyDescent="0.25">
      <c r="A181" s="15"/>
      <c r="B181" s="3"/>
      <c r="C181" s="16"/>
      <c r="D181" s="16"/>
      <c r="E181" s="18" t="str">
        <f t="shared" si="5"/>
        <v/>
      </c>
    </row>
    <row r="182" spans="1:5" ht="15.95" customHeight="1" x14ac:dyDescent="0.25">
      <c r="A182" s="15"/>
      <c r="B182" s="3"/>
      <c r="C182" s="16"/>
      <c r="D182" s="16"/>
      <c r="E182" s="17" t="str">
        <f t="shared" si="5"/>
        <v/>
      </c>
    </row>
    <row r="183" spans="1:5" ht="15.95" customHeight="1" x14ac:dyDescent="0.25">
      <c r="A183" s="15"/>
      <c r="B183" s="3"/>
      <c r="C183" s="16"/>
      <c r="D183" s="16"/>
      <c r="E183" s="18" t="str">
        <f t="shared" si="5"/>
        <v/>
      </c>
    </row>
    <row r="184" spans="1:5" ht="15.95" customHeight="1" x14ac:dyDescent="0.25">
      <c r="A184" s="15"/>
      <c r="B184" s="3"/>
      <c r="C184" s="16"/>
      <c r="D184" s="16"/>
      <c r="E184" s="17" t="str">
        <f t="shared" si="5"/>
        <v/>
      </c>
    </row>
    <row r="185" spans="1:5" ht="15.95" customHeight="1" x14ac:dyDescent="0.25">
      <c r="A185" s="15"/>
      <c r="B185" s="3"/>
      <c r="C185" s="16"/>
      <c r="D185" s="16"/>
      <c r="E185" s="18" t="str">
        <f t="shared" si="5"/>
        <v/>
      </c>
    </row>
    <row r="186" spans="1:5" ht="15.95" customHeight="1" x14ac:dyDescent="0.25">
      <c r="A186" s="15"/>
      <c r="B186" s="3"/>
      <c r="C186" s="16"/>
      <c r="D186" s="16"/>
      <c r="E186" s="17" t="str">
        <f t="shared" si="5"/>
        <v/>
      </c>
    </row>
    <row r="187" spans="1:5" ht="15.95" customHeight="1" x14ac:dyDescent="0.25">
      <c r="A187" s="15"/>
      <c r="B187" s="3"/>
      <c r="C187" s="16"/>
      <c r="D187" s="16"/>
      <c r="E187" s="18" t="str">
        <f t="shared" si="5"/>
        <v/>
      </c>
    </row>
    <row r="188" spans="1:5" ht="15.95" customHeight="1" x14ac:dyDescent="0.25">
      <c r="A188" s="15"/>
      <c r="B188" s="3"/>
      <c r="C188" s="16"/>
      <c r="D188" s="16"/>
      <c r="E188" s="17" t="str">
        <f t="shared" si="5"/>
        <v/>
      </c>
    </row>
    <row r="189" spans="1:5" ht="15.95" customHeight="1" x14ac:dyDescent="0.25">
      <c r="A189" s="15"/>
      <c r="B189" s="3"/>
      <c r="C189" s="16"/>
      <c r="D189" s="16"/>
      <c r="E189" s="18" t="str">
        <f t="shared" si="5"/>
        <v/>
      </c>
    </row>
    <row r="190" spans="1:5" ht="15.95" customHeight="1" x14ac:dyDescent="0.25">
      <c r="A190" s="15"/>
      <c r="B190" s="3"/>
      <c r="C190" s="16"/>
      <c r="D190" s="16"/>
      <c r="E190" s="17" t="str">
        <f t="shared" si="5"/>
        <v/>
      </c>
    </row>
    <row r="191" spans="1:5" ht="15.95" customHeight="1" x14ac:dyDescent="0.25">
      <c r="A191" s="15"/>
      <c r="B191" s="3"/>
      <c r="C191" s="16"/>
      <c r="D191" s="16"/>
      <c r="E191" s="18" t="str">
        <f t="shared" si="5"/>
        <v/>
      </c>
    </row>
    <row r="192" spans="1:5" ht="15.95" customHeight="1" x14ac:dyDescent="0.25">
      <c r="A192" s="15"/>
      <c r="B192" s="3"/>
      <c r="C192" s="16"/>
      <c r="D192" s="16"/>
      <c r="E192" s="17" t="str">
        <f t="shared" si="5"/>
        <v/>
      </c>
    </row>
    <row r="193" spans="1:5" ht="15.95" customHeight="1" x14ac:dyDescent="0.25">
      <c r="A193" s="15"/>
      <c r="B193" s="3"/>
      <c r="C193" s="16"/>
      <c r="D193" s="16"/>
      <c r="E193" s="18" t="str">
        <f t="shared" si="5"/>
        <v/>
      </c>
    </row>
    <row r="194" spans="1:5" ht="15.95" customHeight="1" x14ac:dyDescent="0.25">
      <c r="A194" s="15"/>
      <c r="B194" s="3"/>
      <c r="C194" s="16"/>
      <c r="D194" s="16"/>
      <c r="E194" s="17" t="str">
        <f t="shared" si="5"/>
        <v/>
      </c>
    </row>
    <row r="195" spans="1:5" ht="15.95" customHeight="1" x14ac:dyDescent="0.25">
      <c r="A195" s="15"/>
      <c r="B195" s="3"/>
      <c r="C195" s="16"/>
      <c r="D195" s="16"/>
      <c r="E195" s="18" t="str">
        <f t="shared" si="5"/>
        <v/>
      </c>
    </row>
    <row r="196" spans="1:5" ht="15.95" customHeight="1" x14ac:dyDescent="0.25">
      <c r="A196" s="15"/>
      <c r="B196" s="3"/>
      <c r="C196" s="16"/>
      <c r="D196" s="16"/>
      <c r="E196" s="17" t="str">
        <f t="shared" si="5"/>
        <v/>
      </c>
    </row>
    <row r="197" spans="1:5" ht="15.95" customHeight="1" x14ac:dyDescent="0.25">
      <c r="A197" s="15"/>
      <c r="B197" s="3"/>
      <c r="C197" s="16"/>
      <c r="D197" s="16"/>
      <c r="E197" s="18" t="str">
        <f t="shared" si="5"/>
        <v/>
      </c>
    </row>
    <row r="198" spans="1:5" ht="15.95" customHeight="1" x14ac:dyDescent="0.25">
      <c r="A198" s="15"/>
      <c r="B198" s="3"/>
      <c r="C198" s="16"/>
      <c r="D198" s="16"/>
      <c r="E198" s="17" t="str">
        <f t="shared" si="5"/>
        <v/>
      </c>
    </row>
    <row r="199" spans="1:5" ht="15.95" customHeight="1" x14ac:dyDescent="0.25">
      <c r="A199" s="15"/>
      <c r="B199" s="3"/>
      <c r="C199" s="16"/>
      <c r="D199" s="16"/>
      <c r="E199" s="18" t="str">
        <f t="shared" si="5"/>
        <v/>
      </c>
    </row>
    <row r="200" spans="1:5" ht="15.95" customHeight="1" x14ac:dyDescent="0.25">
      <c r="A200" s="15"/>
      <c r="B200" s="3"/>
      <c r="C200" s="16"/>
      <c r="D200" s="16"/>
      <c r="E200" s="17" t="str">
        <f t="shared" ref="E200:E207" si="6">IF(AND(C200="",D200=""),"",C200-D200)</f>
        <v/>
      </c>
    </row>
    <row r="201" spans="1:5" ht="15.95" customHeight="1" x14ac:dyDescent="0.25">
      <c r="A201" s="15"/>
      <c r="B201" s="3"/>
      <c r="C201" s="16"/>
      <c r="D201" s="16"/>
      <c r="E201" s="18" t="str">
        <f t="shared" si="6"/>
        <v/>
      </c>
    </row>
    <row r="202" spans="1:5" ht="15.95" customHeight="1" x14ac:dyDescent="0.25">
      <c r="A202" s="15"/>
      <c r="B202" s="3"/>
      <c r="C202" s="16"/>
      <c r="D202" s="16"/>
      <c r="E202" s="17" t="str">
        <f t="shared" si="6"/>
        <v/>
      </c>
    </row>
    <row r="203" spans="1:5" ht="15.95" customHeight="1" x14ac:dyDescent="0.25">
      <c r="A203" s="15"/>
      <c r="B203" s="3"/>
      <c r="C203" s="16"/>
      <c r="D203" s="16"/>
      <c r="E203" s="18" t="str">
        <f t="shared" si="6"/>
        <v/>
      </c>
    </row>
    <row r="204" spans="1:5" ht="15.95" customHeight="1" x14ac:dyDescent="0.25">
      <c r="A204" s="15"/>
      <c r="B204" s="3"/>
      <c r="C204" s="16"/>
      <c r="D204" s="16"/>
      <c r="E204" s="17" t="str">
        <f t="shared" si="6"/>
        <v/>
      </c>
    </row>
    <row r="205" spans="1:5" ht="15.95" customHeight="1" x14ac:dyDescent="0.25">
      <c r="A205" s="15"/>
      <c r="B205" s="3"/>
      <c r="C205" s="16"/>
      <c r="D205" s="16"/>
      <c r="E205" s="18" t="str">
        <f t="shared" si="6"/>
        <v/>
      </c>
    </row>
    <row r="206" spans="1:5" ht="15.95" customHeight="1" x14ac:dyDescent="0.25">
      <c r="A206" s="15"/>
      <c r="B206" s="3"/>
      <c r="C206" s="16"/>
      <c r="D206" s="16"/>
      <c r="E206" s="17" t="str">
        <f t="shared" si="6"/>
        <v/>
      </c>
    </row>
    <row r="207" spans="1:5" ht="15.95" customHeight="1" x14ac:dyDescent="0.25">
      <c r="A207" s="15"/>
      <c r="B207" s="3"/>
      <c r="C207" s="16"/>
      <c r="D207" s="16"/>
      <c r="E207" s="18" t="str">
        <f t="shared" si="6"/>
        <v/>
      </c>
    </row>
    <row r="208" spans="1:5" ht="21.95" customHeight="1" x14ac:dyDescent="0.25">
      <c r="A208" s="19" t="s">
        <v>35</v>
      </c>
      <c r="B208" s="20"/>
      <c r="C208" s="21">
        <f>IFERROR(SUM(C8:C207),0)</f>
        <v>0</v>
      </c>
      <c r="D208" s="21">
        <f>IFERROR(SUM(D8:D207),0)</f>
        <v>0</v>
      </c>
      <c r="E208" s="21">
        <f>IFERROR(SUM(E8:E207),0)</f>
        <v>0</v>
      </c>
    </row>
    <row r="210" spans="1:5" ht="26.1" customHeight="1" x14ac:dyDescent="0.25">
      <c r="A210" s="86" t="s">
        <v>36</v>
      </c>
      <c r="B210" s="83"/>
      <c r="C210" s="83"/>
      <c r="D210" s="83"/>
      <c r="E210" s="83"/>
    </row>
    <row r="211" spans="1:5" ht="20.100000000000001" customHeight="1" x14ac:dyDescent="0.25">
      <c r="A211" s="22" t="s">
        <v>37</v>
      </c>
      <c r="B211" s="23" t="s">
        <v>38</v>
      </c>
      <c r="C211" s="17">
        <f>IFERROR(SUMIF(A8:A207,"342*",E8:E207),0)</f>
        <v>0</v>
      </c>
      <c r="D211" s="24"/>
      <c r="E211" s="24"/>
    </row>
    <row r="212" spans="1:5" ht="20.100000000000001" customHeight="1" x14ac:dyDescent="0.25">
      <c r="A212" s="22" t="s">
        <v>39</v>
      </c>
      <c r="B212" s="23" t="s">
        <v>40</v>
      </c>
      <c r="C212" s="17">
        <f>IFERROR(-SUMIF(A8:A207,"441*",E8:E207),0)</f>
        <v>0</v>
      </c>
      <c r="D212" s="24"/>
      <c r="E212" s="24"/>
    </row>
    <row r="213" spans="1:5" ht="20.100000000000001" customHeight="1" x14ac:dyDescent="0.25">
      <c r="A213" s="22" t="s">
        <v>41</v>
      </c>
      <c r="B213" s="23" t="s">
        <v>42</v>
      </c>
      <c r="C213" s="17">
        <f>IFERROR(-SUMIF(A8:A207,"71*",E8:E207),0)</f>
        <v>0</v>
      </c>
      <c r="D213" s="24"/>
      <c r="E213" s="24"/>
    </row>
    <row r="214" spans="1:5" ht="20.100000000000001" customHeight="1" x14ac:dyDescent="0.25">
      <c r="A214" s="22" t="s">
        <v>43</v>
      </c>
      <c r="B214" s="23" t="s">
        <v>44</v>
      </c>
      <c r="C214" s="17">
        <f>IFERROR(SUMIF(A8:A207,"61*",E8:E207),0)</f>
        <v>0</v>
      </c>
      <c r="D214" s="24"/>
      <c r="E214" s="24"/>
    </row>
    <row r="215" spans="1:5" ht="20.100000000000001" customHeight="1" x14ac:dyDescent="0.25">
      <c r="A215" s="22" t="s">
        <v>45</v>
      </c>
      <c r="B215" s="23" t="s">
        <v>46</v>
      </c>
      <c r="C215" s="17">
        <f>IFERROR(SUMIF(A8:A207,"3*",E8:E207),0)</f>
        <v>0</v>
      </c>
      <c r="D215" s="24"/>
      <c r="E215" s="24"/>
    </row>
    <row r="217" spans="1:5" x14ac:dyDescent="0.25">
      <c r="A217" s="89" t="s">
        <v>47</v>
      </c>
      <c r="B217" s="83"/>
      <c r="C217" s="83"/>
      <c r="D217" s="83"/>
      <c r="E217" s="83"/>
    </row>
  </sheetData>
  <mergeCells count="5">
    <mergeCell ref="A2:E2"/>
    <mergeCell ref="A210:E210"/>
    <mergeCell ref="A217:E217"/>
    <mergeCell ref="A1:E1"/>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2"/>
  <sheetViews>
    <sheetView showGridLines="0" workbookViewId="0"/>
  </sheetViews>
  <sheetFormatPr baseColWidth="10" defaultColWidth="9.140625" defaultRowHeight="15" x14ac:dyDescent="0.25"/>
  <cols>
    <col min="1" max="1" width="22" customWidth="1"/>
    <col min="2" max="2" width="14" customWidth="1"/>
    <col min="3" max="4" width="13" customWidth="1"/>
    <col min="5" max="5" width="14" customWidth="1"/>
    <col min="6" max="6" width="8" customWidth="1"/>
    <col min="7" max="7" width="14" customWidth="1"/>
    <col min="8" max="8" width="13" customWidth="1"/>
    <col min="9" max="9" width="14" customWidth="1"/>
    <col min="10" max="11" width="12" customWidth="1"/>
    <col min="12" max="13" width="13" hidden="1" customWidth="1"/>
  </cols>
  <sheetData>
    <row r="1" spans="1:13" ht="33.950000000000003" customHeight="1" x14ac:dyDescent="0.25">
      <c r="A1" s="90" t="s">
        <v>48</v>
      </c>
      <c r="B1" s="83"/>
      <c r="C1" s="83"/>
      <c r="D1" s="83"/>
      <c r="E1" s="83"/>
      <c r="F1" s="83"/>
      <c r="G1" s="83"/>
      <c r="H1" s="83"/>
      <c r="I1" s="83"/>
      <c r="J1" s="83"/>
      <c r="K1" s="83"/>
      <c r="L1" s="25" t="s">
        <v>49</v>
      </c>
      <c r="M1" s="26">
        <f>IFERROR(SUM(I12:I111)/('0_Accueil'!$D$11*(1+'0_Accueil'!$D$12)/360),0)</f>
        <v>0</v>
      </c>
    </row>
    <row r="2" spans="1:13" ht="30" customHeight="1" x14ac:dyDescent="0.25">
      <c r="A2" s="85" t="s">
        <v>50</v>
      </c>
      <c r="B2" s="83"/>
      <c r="C2" s="83"/>
      <c r="D2" s="83"/>
      <c r="E2" s="83"/>
      <c r="F2" s="83"/>
      <c r="G2" s="83"/>
      <c r="H2" s="83"/>
      <c r="I2" s="83"/>
      <c r="J2" s="83"/>
      <c r="K2" s="83"/>
      <c r="M2" s="26">
        <f>IFERROR(SUMPRODUCT(I12:I111,J12:J111)/SUM(I12:I111),0)</f>
        <v>0</v>
      </c>
    </row>
    <row r="3" spans="1:13" ht="21.95" customHeight="1" x14ac:dyDescent="0.25">
      <c r="A3" s="27" t="s">
        <v>51</v>
      </c>
      <c r="B3" s="28">
        <f>'0_Accueil'!$D$10</f>
        <v>46260</v>
      </c>
      <c r="C3" s="27" t="s">
        <v>52</v>
      </c>
      <c r="D3" s="29">
        <f>'0_Accueil'!$D$11</f>
        <v>0</v>
      </c>
      <c r="E3" s="27" t="s">
        <v>53</v>
      </c>
      <c r="F3" s="30">
        <f>'0_Accueil'!$D$12</f>
        <v>0.2</v>
      </c>
      <c r="G3" s="2"/>
      <c r="H3" s="2"/>
      <c r="I3" s="2"/>
      <c r="J3" s="2"/>
      <c r="K3" s="2"/>
      <c r="M3" s="31">
        <f>IFERROR(SUMIF(H12:H111,"PAYÉ",G12:G111)/SUM(G12:G111),0)</f>
        <v>0</v>
      </c>
    </row>
    <row r="4" spans="1:13" x14ac:dyDescent="0.25">
      <c r="M4" s="26">
        <f>IFERROR(SUMPRODUCT(I12:I111,K12:K111)/SUMPRODUCT((K12:K111&gt;0)*I12:I111),0)</f>
        <v>0</v>
      </c>
    </row>
    <row r="5" spans="1:13" ht="26.1" customHeight="1" x14ac:dyDescent="0.25">
      <c r="A5" s="86" t="s">
        <v>54</v>
      </c>
      <c r="B5" s="83"/>
      <c r="C5" s="83"/>
      <c r="D5" s="83"/>
      <c r="E5" s="83"/>
      <c r="F5" s="83"/>
      <c r="G5" s="83"/>
      <c r="H5" s="83"/>
      <c r="I5" s="83"/>
      <c r="J5" s="83"/>
      <c r="K5" s="83"/>
      <c r="M5" s="31">
        <f>IFERROR(SUMPRODUCT(I12:I111,K12:K111)/SUMPRODUCT(I12:I111,J12:J111),0)</f>
        <v>0</v>
      </c>
    </row>
    <row r="6" spans="1:13" ht="18" customHeight="1" x14ac:dyDescent="0.25">
      <c r="A6" s="93" t="s">
        <v>55</v>
      </c>
      <c r="B6" s="83"/>
      <c r="C6" s="93" t="s">
        <v>56</v>
      </c>
      <c r="D6" s="83"/>
      <c r="E6" s="93" t="s">
        <v>57</v>
      </c>
      <c r="F6" s="83"/>
      <c r="G6" s="93" t="s">
        <v>58</v>
      </c>
      <c r="H6" s="83"/>
      <c r="I6" s="93" t="s">
        <v>59</v>
      </c>
      <c r="J6" s="83"/>
      <c r="K6" s="83"/>
      <c r="M6" s="32">
        <f>IFERROR(SUMPRODUCT((K12:K111&gt;0)*I12:I111),0)</f>
        <v>0</v>
      </c>
    </row>
    <row r="7" spans="1:13" ht="33.950000000000003" customHeight="1" x14ac:dyDescent="0.25">
      <c r="A7" s="91">
        <f>'2_Clients'!$M$1</f>
        <v>0</v>
      </c>
      <c r="B7" s="83"/>
      <c r="C7" s="91">
        <f>'2_Clients'!$M$2</f>
        <v>0</v>
      </c>
      <c r="D7" s="83"/>
      <c r="E7" s="92">
        <f>'2_Clients'!$M$3</f>
        <v>0</v>
      </c>
      <c r="F7" s="83"/>
      <c r="G7" s="91">
        <f>'2_Clients'!$M$4</f>
        <v>0</v>
      </c>
      <c r="H7" s="83"/>
      <c r="I7" s="92">
        <f>'2_Clients'!$M$5</f>
        <v>0</v>
      </c>
      <c r="J7" s="83"/>
      <c r="K7" s="83"/>
      <c r="M7" s="32">
        <f>IFERROR(SUM(I12:I111),0)</f>
        <v>0</v>
      </c>
    </row>
    <row r="8" spans="1:13" ht="15.95" customHeight="1" x14ac:dyDescent="0.25">
      <c r="A8" s="94" t="s">
        <v>60</v>
      </c>
      <c r="B8" s="83"/>
      <c r="C8" s="94" t="s">
        <v>60</v>
      </c>
      <c r="D8" s="83"/>
      <c r="E8" s="94" t="s">
        <v>61</v>
      </c>
      <c r="F8" s="83"/>
      <c r="G8" s="94" t="s">
        <v>60</v>
      </c>
      <c r="H8" s="83"/>
      <c r="I8" s="94" t="s">
        <v>62</v>
      </c>
      <c r="J8" s="83"/>
      <c r="K8" s="83"/>
      <c r="M8" s="32">
        <f>IFERROR(SUMPRODUCT((K12:K111&gt;0)*1),0)</f>
        <v>0</v>
      </c>
    </row>
    <row r="11" spans="1:13" ht="26.1" customHeight="1" x14ac:dyDescent="0.25">
      <c r="A11" s="33" t="s">
        <v>63</v>
      </c>
      <c r="B11" s="33" t="s">
        <v>64</v>
      </c>
      <c r="C11" s="33" t="s">
        <v>65</v>
      </c>
      <c r="D11" s="33" t="s">
        <v>66</v>
      </c>
      <c r="E11" s="33" t="s">
        <v>67</v>
      </c>
      <c r="F11" s="33" t="s">
        <v>68</v>
      </c>
      <c r="G11" s="33" t="s">
        <v>69</v>
      </c>
      <c r="H11" s="33" t="s">
        <v>70</v>
      </c>
      <c r="I11" s="33" t="s">
        <v>71</v>
      </c>
      <c r="J11" s="33" t="s">
        <v>72</v>
      </c>
      <c r="K11" s="33" t="s">
        <v>73</v>
      </c>
    </row>
    <row r="12" spans="1:13" ht="17.100000000000001" customHeight="1" x14ac:dyDescent="0.25">
      <c r="A12" s="3"/>
      <c r="B12" s="15"/>
      <c r="C12" s="5"/>
      <c r="D12" s="5"/>
      <c r="E12" s="16"/>
      <c r="F12" s="7"/>
      <c r="G12" s="17" t="str">
        <f t="shared" ref="G12:G43" si="0">IF(E12="","",IFERROR(E12*(1+F12),""))</f>
        <v/>
      </c>
      <c r="H12" s="34"/>
      <c r="I12" s="17">
        <f t="shared" ref="I12:I43" si="1">IF(OR(H12="",E12=""),0,IF(H12="PAYÉ",0,G12))</f>
        <v>0</v>
      </c>
      <c r="J12" s="35">
        <f t="shared" ref="J12:J43" si="2">IF(OR(H12="PAYÉ",H12="",C12=""),0,MAX(0,$B$3-C12))</f>
        <v>0</v>
      </c>
      <c r="K12" s="35">
        <f t="shared" ref="K12:K43" si="3">IF(OR(H12="PAYÉ",H12="",D12=""),0,MAX(0,$B$3-D12))</f>
        <v>0</v>
      </c>
    </row>
    <row r="13" spans="1:13" ht="17.100000000000001" customHeight="1" x14ac:dyDescent="0.25">
      <c r="A13" s="3"/>
      <c r="B13" s="15"/>
      <c r="C13" s="5"/>
      <c r="D13" s="5"/>
      <c r="E13" s="16"/>
      <c r="F13" s="7"/>
      <c r="G13" s="18" t="str">
        <f t="shared" si="0"/>
        <v/>
      </c>
      <c r="H13" s="34"/>
      <c r="I13" s="18">
        <f t="shared" si="1"/>
        <v>0</v>
      </c>
      <c r="J13" s="36">
        <f t="shared" si="2"/>
        <v>0</v>
      </c>
      <c r="K13" s="36">
        <f t="shared" si="3"/>
        <v>0</v>
      </c>
    </row>
    <row r="14" spans="1:13" ht="17.100000000000001" customHeight="1" x14ac:dyDescent="0.25">
      <c r="A14" s="3"/>
      <c r="B14" s="15"/>
      <c r="C14" s="5"/>
      <c r="D14" s="5"/>
      <c r="E14" s="16"/>
      <c r="F14" s="7"/>
      <c r="G14" s="17" t="str">
        <f t="shared" si="0"/>
        <v/>
      </c>
      <c r="H14" s="34"/>
      <c r="I14" s="17">
        <f t="shared" si="1"/>
        <v>0</v>
      </c>
      <c r="J14" s="35">
        <f t="shared" si="2"/>
        <v>0</v>
      </c>
      <c r="K14" s="35">
        <f t="shared" si="3"/>
        <v>0</v>
      </c>
    </row>
    <row r="15" spans="1:13" ht="17.100000000000001" customHeight="1" x14ac:dyDescent="0.25">
      <c r="A15" s="3"/>
      <c r="B15" s="15"/>
      <c r="C15" s="5"/>
      <c r="D15" s="5"/>
      <c r="E15" s="16"/>
      <c r="F15" s="7"/>
      <c r="G15" s="18" t="str">
        <f t="shared" si="0"/>
        <v/>
      </c>
      <c r="H15" s="34"/>
      <c r="I15" s="18">
        <f t="shared" si="1"/>
        <v>0</v>
      </c>
      <c r="J15" s="36">
        <f t="shared" si="2"/>
        <v>0</v>
      </c>
      <c r="K15" s="36">
        <f t="shared" si="3"/>
        <v>0</v>
      </c>
    </row>
    <row r="16" spans="1:13" ht="17.100000000000001" customHeight="1" x14ac:dyDescent="0.25">
      <c r="A16" s="3"/>
      <c r="B16" s="15"/>
      <c r="C16" s="5"/>
      <c r="D16" s="5"/>
      <c r="E16" s="16"/>
      <c r="F16" s="7"/>
      <c r="G16" s="17" t="str">
        <f t="shared" si="0"/>
        <v/>
      </c>
      <c r="H16" s="34"/>
      <c r="I16" s="17">
        <f t="shared" si="1"/>
        <v>0</v>
      </c>
      <c r="J16" s="35">
        <f t="shared" si="2"/>
        <v>0</v>
      </c>
      <c r="K16" s="35">
        <f t="shared" si="3"/>
        <v>0</v>
      </c>
    </row>
    <row r="17" spans="1:11" ht="17.100000000000001" customHeight="1" x14ac:dyDescent="0.25">
      <c r="A17" s="3"/>
      <c r="B17" s="15"/>
      <c r="C17" s="5"/>
      <c r="D17" s="5"/>
      <c r="E17" s="16"/>
      <c r="F17" s="7"/>
      <c r="G17" s="18" t="str">
        <f t="shared" si="0"/>
        <v/>
      </c>
      <c r="H17" s="34"/>
      <c r="I17" s="18">
        <f t="shared" si="1"/>
        <v>0</v>
      </c>
      <c r="J17" s="36">
        <f t="shared" si="2"/>
        <v>0</v>
      </c>
      <c r="K17" s="36">
        <f t="shared" si="3"/>
        <v>0</v>
      </c>
    </row>
    <row r="18" spans="1:11" ht="17.100000000000001" customHeight="1" x14ac:dyDescent="0.25">
      <c r="A18" s="3"/>
      <c r="B18" s="15"/>
      <c r="C18" s="5"/>
      <c r="D18" s="5"/>
      <c r="E18" s="16"/>
      <c r="F18" s="7"/>
      <c r="G18" s="17" t="str">
        <f t="shared" si="0"/>
        <v/>
      </c>
      <c r="H18" s="34"/>
      <c r="I18" s="17">
        <f t="shared" si="1"/>
        <v>0</v>
      </c>
      <c r="J18" s="35">
        <f t="shared" si="2"/>
        <v>0</v>
      </c>
      <c r="K18" s="35">
        <f t="shared" si="3"/>
        <v>0</v>
      </c>
    </row>
    <row r="19" spans="1:11" ht="17.100000000000001" customHeight="1" x14ac:dyDescent="0.25">
      <c r="A19" s="3"/>
      <c r="B19" s="15"/>
      <c r="C19" s="5"/>
      <c r="D19" s="5"/>
      <c r="E19" s="16"/>
      <c r="F19" s="7"/>
      <c r="G19" s="18" t="str">
        <f t="shared" si="0"/>
        <v/>
      </c>
      <c r="H19" s="34"/>
      <c r="I19" s="18">
        <f t="shared" si="1"/>
        <v>0</v>
      </c>
      <c r="J19" s="36">
        <f t="shared" si="2"/>
        <v>0</v>
      </c>
      <c r="K19" s="36">
        <f t="shared" si="3"/>
        <v>0</v>
      </c>
    </row>
    <row r="20" spans="1:11" ht="17.100000000000001" customHeight="1" x14ac:dyDescent="0.25">
      <c r="A20" s="3"/>
      <c r="B20" s="15"/>
      <c r="C20" s="5"/>
      <c r="D20" s="5"/>
      <c r="E20" s="16"/>
      <c r="F20" s="7"/>
      <c r="G20" s="17" t="str">
        <f t="shared" si="0"/>
        <v/>
      </c>
      <c r="H20" s="34"/>
      <c r="I20" s="17">
        <f t="shared" si="1"/>
        <v>0</v>
      </c>
      <c r="J20" s="35">
        <f t="shared" si="2"/>
        <v>0</v>
      </c>
      <c r="K20" s="35">
        <f t="shared" si="3"/>
        <v>0</v>
      </c>
    </row>
    <row r="21" spans="1:11" ht="17.100000000000001" customHeight="1" x14ac:dyDescent="0.25">
      <c r="A21" s="3"/>
      <c r="B21" s="15"/>
      <c r="C21" s="5"/>
      <c r="D21" s="5"/>
      <c r="E21" s="16"/>
      <c r="F21" s="7"/>
      <c r="G21" s="18" t="str">
        <f t="shared" si="0"/>
        <v/>
      </c>
      <c r="H21" s="34"/>
      <c r="I21" s="18">
        <f t="shared" si="1"/>
        <v>0</v>
      </c>
      <c r="J21" s="36">
        <f t="shared" si="2"/>
        <v>0</v>
      </c>
      <c r="K21" s="36">
        <f t="shared" si="3"/>
        <v>0</v>
      </c>
    </row>
    <row r="22" spans="1:11" ht="17.100000000000001" customHeight="1" x14ac:dyDescent="0.25">
      <c r="A22" s="3"/>
      <c r="B22" s="15"/>
      <c r="C22" s="5"/>
      <c r="D22" s="5"/>
      <c r="E22" s="16"/>
      <c r="F22" s="7"/>
      <c r="G22" s="17" t="str">
        <f t="shared" si="0"/>
        <v/>
      </c>
      <c r="H22" s="34"/>
      <c r="I22" s="17">
        <f t="shared" si="1"/>
        <v>0</v>
      </c>
      <c r="J22" s="35">
        <f t="shared" si="2"/>
        <v>0</v>
      </c>
      <c r="K22" s="35">
        <f t="shared" si="3"/>
        <v>0</v>
      </c>
    </row>
    <row r="23" spans="1:11" ht="17.100000000000001" customHeight="1" x14ac:dyDescent="0.25">
      <c r="A23" s="3"/>
      <c r="B23" s="15"/>
      <c r="C23" s="5"/>
      <c r="D23" s="5"/>
      <c r="E23" s="16"/>
      <c r="F23" s="7"/>
      <c r="G23" s="18" t="str">
        <f t="shared" si="0"/>
        <v/>
      </c>
      <c r="H23" s="34"/>
      <c r="I23" s="18">
        <f t="shared" si="1"/>
        <v>0</v>
      </c>
      <c r="J23" s="36">
        <f t="shared" si="2"/>
        <v>0</v>
      </c>
      <c r="K23" s="36">
        <f t="shared" si="3"/>
        <v>0</v>
      </c>
    </row>
    <row r="24" spans="1:11" ht="17.100000000000001" customHeight="1" x14ac:dyDescent="0.25">
      <c r="A24" s="3"/>
      <c r="B24" s="15"/>
      <c r="C24" s="5"/>
      <c r="D24" s="5"/>
      <c r="E24" s="16"/>
      <c r="F24" s="7"/>
      <c r="G24" s="17" t="str">
        <f t="shared" si="0"/>
        <v/>
      </c>
      <c r="H24" s="34"/>
      <c r="I24" s="17">
        <f t="shared" si="1"/>
        <v>0</v>
      </c>
      <c r="J24" s="35">
        <f t="shared" si="2"/>
        <v>0</v>
      </c>
      <c r="K24" s="35">
        <f t="shared" si="3"/>
        <v>0</v>
      </c>
    </row>
    <row r="25" spans="1:11" ht="17.100000000000001" customHeight="1" x14ac:dyDescent="0.25">
      <c r="A25" s="3"/>
      <c r="B25" s="15"/>
      <c r="C25" s="5"/>
      <c r="D25" s="5"/>
      <c r="E25" s="16"/>
      <c r="F25" s="7"/>
      <c r="G25" s="18" t="str">
        <f t="shared" si="0"/>
        <v/>
      </c>
      <c r="H25" s="34"/>
      <c r="I25" s="18">
        <f t="shared" si="1"/>
        <v>0</v>
      </c>
      <c r="J25" s="36">
        <f t="shared" si="2"/>
        <v>0</v>
      </c>
      <c r="K25" s="36">
        <f t="shared" si="3"/>
        <v>0</v>
      </c>
    </row>
    <row r="26" spans="1:11" ht="17.100000000000001" customHeight="1" x14ac:dyDescent="0.25">
      <c r="A26" s="3"/>
      <c r="B26" s="15"/>
      <c r="C26" s="5"/>
      <c r="D26" s="5"/>
      <c r="E26" s="16"/>
      <c r="F26" s="7"/>
      <c r="G26" s="17" t="str">
        <f t="shared" si="0"/>
        <v/>
      </c>
      <c r="H26" s="34"/>
      <c r="I26" s="17">
        <f t="shared" si="1"/>
        <v>0</v>
      </c>
      <c r="J26" s="35">
        <f t="shared" si="2"/>
        <v>0</v>
      </c>
      <c r="K26" s="35">
        <f t="shared" si="3"/>
        <v>0</v>
      </c>
    </row>
    <row r="27" spans="1:11" ht="17.100000000000001" customHeight="1" x14ac:dyDescent="0.25">
      <c r="A27" s="3"/>
      <c r="B27" s="15"/>
      <c r="C27" s="5"/>
      <c r="D27" s="5"/>
      <c r="E27" s="16"/>
      <c r="F27" s="7"/>
      <c r="G27" s="18" t="str">
        <f t="shared" si="0"/>
        <v/>
      </c>
      <c r="H27" s="34"/>
      <c r="I27" s="18">
        <f t="shared" si="1"/>
        <v>0</v>
      </c>
      <c r="J27" s="36">
        <f t="shared" si="2"/>
        <v>0</v>
      </c>
      <c r="K27" s="36">
        <f t="shared" si="3"/>
        <v>0</v>
      </c>
    </row>
    <row r="28" spans="1:11" ht="17.100000000000001" customHeight="1" x14ac:dyDescent="0.25">
      <c r="A28" s="3"/>
      <c r="B28" s="15"/>
      <c r="C28" s="5"/>
      <c r="D28" s="5"/>
      <c r="E28" s="16"/>
      <c r="F28" s="7"/>
      <c r="G28" s="17" t="str">
        <f t="shared" si="0"/>
        <v/>
      </c>
      <c r="H28" s="34"/>
      <c r="I28" s="17">
        <f t="shared" si="1"/>
        <v>0</v>
      </c>
      <c r="J28" s="35">
        <f t="shared" si="2"/>
        <v>0</v>
      </c>
      <c r="K28" s="35">
        <f t="shared" si="3"/>
        <v>0</v>
      </c>
    </row>
    <row r="29" spans="1:11" ht="17.100000000000001" customHeight="1" x14ac:dyDescent="0.25">
      <c r="A29" s="3"/>
      <c r="B29" s="15"/>
      <c r="C29" s="5"/>
      <c r="D29" s="5"/>
      <c r="E29" s="16"/>
      <c r="F29" s="7"/>
      <c r="G29" s="18" t="str">
        <f t="shared" si="0"/>
        <v/>
      </c>
      <c r="H29" s="34"/>
      <c r="I29" s="18">
        <f t="shared" si="1"/>
        <v>0</v>
      </c>
      <c r="J29" s="36">
        <f t="shared" si="2"/>
        <v>0</v>
      </c>
      <c r="K29" s="36">
        <f t="shared" si="3"/>
        <v>0</v>
      </c>
    </row>
    <row r="30" spans="1:11" ht="17.100000000000001" customHeight="1" x14ac:dyDescent="0.25">
      <c r="A30" s="3"/>
      <c r="B30" s="15"/>
      <c r="C30" s="5"/>
      <c r="D30" s="5"/>
      <c r="E30" s="16"/>
      <c r="F30" s="7"/>
      <c r="G30" s="17" t="str">
        <f t="shared" si="0"/>
        <v/>
      </c>
      <c r="H30" s="34"/>
      <c r="I30" s="17">
        <f t="shared" si="1"/>
        <v>0</v>
      </c>
      <c r="J30" s="35">
        <f t="shared" si="2"/>
        <v>0</v>
      </c>
      <c r="K30" s="35">
        <f t="shared" si="3"/>
        <v>0</v>
      </c>
    </row>
    <row r="31" spans="1:11" ht="17.100000000000001" customHeight="1" x14ac:dyDescent="0.25">
      <c r="A31" s="3"/>
      <c r="B31" s="15"/>
      <c r="C31" s="5"/>
      <c r="D31" s="5"/>
      <c r="E31" s="16"/>
      <c r="F31" s="7"/>
      <c r="G31" s="18" t="str">
        <f t="shared" si="0"/>
        <v/>
      </c>
      <c r="H31" s="34"/>
      <c r="I31" s="18">
        <f t="shared" si="1"/>
        <v>0</v>
      </c>
      <c r="J31" s="36">
        <f t="shared" si="2"/>
        <v>0</v>
      </c>
      <c r="K31" s="36">
        <f t="shared" si="3"/>
        <v>0</v>
      </c>
    </row>
    <row r="32" spans="1:11" ht="17.100000000000001" customHeight="1" x14ac:dyDescent="0.25">
      <c r="A32" s="3"/>
      <c r="B32" s="15"/>
      <c r="C32" s="5"/>
      <c r="D32" s="5"/>
      <c r="E32" s="16"/>
      <c r="F32" s="7"/>
      <c r="G32" s="17" t="str">
        <f t="shared" si="0"/>
        <v/>
      </c>
      <c r="H32" s="34"/>
      <c r="I32" s="17">
        <f t="shared" si="1"/>
        <v>0</v>
      </c>
      <c r="J32" s="35">
        <f t="shared" si="2"/>
        <v>0</v>
      </c>
      <c r="K32" s="35">
        <f t="shared" si="3"/>
        <v>0</v>
      </c>
    </row>
    <row r="33" spans="1:11" ht="17.100000000000001" customHeight="1" x14ac:dyDescent="0.25">
      <c r="A33" s="3"/>
      <c r="B33" s="15"/>
      <c r="C33" s="5"/>
      <c r="D33" s="5"/>
      <c r="E33" s="16"/>
      <c r="F33" s="7"/>
      <c r="G33" s="18" t="str">
        <f t="shared" si="0"/>
        <v/>
      </c>
      <c r="H33" s="34"/>
      <c r="I33" s="18">
        <f t="shared" si="1"/>
        <v>0</v>
      </c>
      <c r="J33" s="36">
        <f t="shared" si="2"/>
        <v>0</v>
      </c>
      <c r="K33" s="36">
        <f t="shared" si="3"/>
        <v>0</v>
      </c>
    </row>
    <row r="34" spans="1:11" ht="17.100000000000001" customHeight="1" x14ac:dyDescent="0.25">
      <c r="A34" s="3"/>
      <c r="B34" s="15"/>
      <c r="C34" s="5"/>
      <c r="D34" s="5"/>
      <c r="E34" s="16"/>
      <c r="F34" s="7"/>
      <c r="G34" s="17" t="str">
        <f t="shared" si="0"/>
        <v/>
      </c>
      <c r="H34" s="34"/>
      <c r="I34" s="17">
        <f t="shared" si="1"/>
        <v>0</v>
      </c>
      <c r="J34" s="35">
        <f t="shared" si="2"/>
        <v>0</v>
      </c>
      <c r="K34" s="35">
        <f t="shared" si="3"/>
        <v>0</v>
      </c>
    </row>
    <row r="35" spans="1:11" ht="17.100000000000001" customHeight="1" x14ac:dyDescent="0.25">
      <c r="A35" s="3"/>
      <c r="B35" s="15"/>
      <c r="C35" s="5"/>
      <c r="D35" s="5"/>
      <c r="E35" s="16"/>
      <c r="F35" s="7"/>
      <c r="G35" s="18" t="str">
        <f t="shared" si="0"/>
        <v/>
      </c>
      <c r="H35" s="34"/>
      <c r="I35" s="18">
        <f t="shared" si="1"/>
        <v>0</v>
      </c>
      <c r="J35" s="36">
        <f t="shared" si="2"/>
        <v>0</v>
      </c>
      <c r="K35" s="36">
        <f t="shared" si="3"/>
        <v>0</v>
      </c>
    </row>
    <row r="36" spans="1:11" ht="17.100000000000001" customHeight="1" x14ac:dyDescent="0.25">
      <c r="A36" s="3"/>
      <c r="B36" s="15"/>
      <c r="C36" s="5"/>
      <c r="D36" s="5"/>
      <c r="E36" s="16"/>
      <c r="F36" s="7"/>
      <c r="G36" s="17" t="str">
        <f t="shared" si="0"/>
        <v/>
      </c>
      <c r="H36" s="34"/>
      <c r="I36" s="17">
        <f t="shared" si="1"/>
        <v>0</v>
      </c>
      <c r="J36" s="35">
        <f t="shared" si="2"/>
        <v>0</v>
      </c>
      <c r="K36" s="35">
        <f t="shared" si="3"/>
        <v>0</v>
      </c>
    </row>
    <row r="37" spans="1:11" ht="17.100000000000001" customHeight="1" x14ac:dyDescent="0.25">
      <c r="A37" s="3"/>
      <c r="B37" s="15"/>
      <c r="C37" s="5"/>
      <c r="D37" s="5"/>
      <c r="E37" s="16"/>
      <c r="F37" s="7"/>
      <c r="G37" s="18" t="str">
        <f t="shared" si="0"/>
        <v/>
      </c>
      <c r="H37" s="34"/>
      <c r="I37" s="18">
        <f t="shared" si="1"/>
        <v>0</v>
      </c>
      <c r="J37" s="36">
        <f t="shared" si="2"/>
        <v>0</v>
      </c>
      <c r="K37" s="36">
        <f t="shared" si="3"/>
        <v>0</v>
      </c>
    </row>
    <row r="38" spans="1:11" ht="17.100000000000001" customHeight="1" x14ac:dyDescent="0.25">
      <c r="A38" s="3"/>
      <c r="B38" s="15"/>
      <c r="C38" s="5"/>
      <c r="D38" s="5"/>
      <c r="E38" s="16"/>
      <c r="F38" s="7"/>
      <c r="G38" s="17" t="str">
        <f t="shared" si="0"/>
        <v/>
      </c>
      <c r="H38" s="34"/>
      <c r="I38" s="17">
        <f t="shared" si="1"/>
        <v>0</v>
      </c>
      <c r="J38" s="35">
        <f t="shared" si="2"/>
        <v>0</v>
      </c>
      <c r="K38" s="35">
        <f t="shared" si="3"/>
        <v>0</v>
      </c>
    </row>
    <row r="39" spans="1:11" ht="17.100000000000001" customHeight="1" x14ac:dyDescent="0.25">
      <c r="A39" s="3"/>
      <c r="B39" s="15"/>
      <c r="C39" s="5"/>
      <c r="D39" s="5"/>
      <c r="E39" s="16"/>
      <c r="F39" s="7"/>
      <c r="G39" s="18" t="str">
        <f t="shared" si="0"/>
        <v/>
      </c>
      <c r="H39" s="34"/>
      <c r="I39" s="18">
        <f t="shared" si="1"/>
        <v>0</v>
      </c>
      <c r="J39" s="36">
        <f t="shared" si="2"/>
        <v>0</v>
      </c>
      <c r="K39" s="36">
        <f t="shared" si="3"/>
        <v>0</v>
      </c>
    </row>
    <row r="40" spans="1:11" ht="17.100000000000001" customHeight="1" x14ac:dyDescent="0.25">
      <c r="A40" s="3"/>
      <c r="B40" s="15"/>
      <c r="C40" s="5"/>
      <c r="D40" s="5"/>
      <c r="E40" s="16"/>
      <c r="F40" s="7"/>
      <c r="G40" s="17" t="str">
        <f t="shared" si="0"/>
        <v/>
      </c>
      <c r="H40" s="34"/>
      <c r="I40" s="17">
        <f t="shared" si="1"/>
        <v>0</v>
      </c>
      <c r="J40" s="35">
        <f t="shared" si="2"/>
        <v>0</v>
      </c>
      <c r="K40" s="35">
        <f t="shared" si="3"/>
        <v>0</v>
      </c>
    </row>
    <row r="41" spans="1:11" ht="17.100000000000001" customHeight="1" x14ac:dyDescent="0.25">
      <c r="A41" s="3"/>
      <c r="B41" s="15"/>
      <c r="C41" s="5"/>
      <c r="D41" s="5"/>
      <c r="E41" s="16"/>
      <c r="F41" s="7"/>
      <c r="G41" s="18" t="str">
        <f t="shared" si="0"/>
        <v/>
      </c>
      <c r="H41" s="34"/>
      <c r="I41" s="18">
        <f t="shared" si="1"/>
        <v>0</v>
      </c>
      <c r="J41" s="36">
        <f t="shared" si="2"/>
        <v>0</v>
      </c>
      <c r="K41" s="36">
        <f t="shared" si="3"/>
        <v>0</v>
      </c>
    </row>
    <row r="42" spans="1:11" ht="17.100000000000001" customHeight="1" x14ac:dyDescent="0.25">
      <c r="A42" s="3"/>
      <c r="B42" s="15"/>
      <c r="C42" s="5"/>
      <c r="D42" s="5"/>
      <c r="E42" s="16"/>
      <c r="F42" s="7"/>
      <c r="G42" s="17" t="str">
        <f t="shared" si="0"/>
        <v/>
      </c>
      <c r="H42" s="34"/>
      <c r="I42" s="17">
        <f t="shared" si="1"/>
        <v>0</v>
      </c>
      <c r="J42" s="35">
        <f t="shared" si="2"/>
        <v>0</v>
      </c>
      <c r="K42" s="35">
        <f t="shared" si="3"/>
        <v>0</v>
      </c>
    </row>
    <row r="43" spans="1:11" ht="17.100000000000001" customHeight="1" x14ac:dyDescent="0.25">
      <c r="A43" s="3"/>
      <c r="B43" s="15"/>
      <c r="C43" s="5"/>
      <c r="D43" s="5"/>
      <c r="E43" s="16"/>
      <c r="F43" s="7"/>
      <c r="G43" s="18" t="str">
        <f t="shared" si="0"/>
        <v/>
      </c>
      <c r="H43" s="34"/>
      <c r="I43" s="18">
        <f t="shared" si="1"/>
        <v>0</v>
      </c>
      <c r="J43" s="36">
        <f t="shared" si="2"/>
        <v>0</v>
      </c>
      <c r="K43" s="36">
        <f t="shared" si="3"/>
        <v>0</v>
      </c>
    </row>
    <row r="44" spans="1:11" ht="17.100000000000001" customHeight="1" x14ac:dyDescent="0.25">
      <c r="A44" s="3"/>
      <c r="B44" s="15"/>
      <c r="C44" s="5"/>
      <c r="D44" s="5"/>
      <c r="E44" s="16"/>
      <c r="F44" s="7"/>
      <c r="G44" s="17" t="str">
        <f t="shared" ref="G44:G75" si="4">IF(E44="","",IFERROR(E44*(1+F44),""))</f>
        <v/>
      </c>
      <c r="H44" s="34"/>
      <c r="I44" s="17">
        <f t="shared" ref="I44:I75" si="5">IF(OR(H44="",E44=""),0,IF(H44="PAYÉ",0,G44))</f>
        <v>0</v>
      </c>
      <c r="J44" s="35">
        <f t="shared" ref="J44:J75" si="6">IF(OR(H44="PAYÉ",H44="",C44=""),0,MAX(0,$B$3-C44))</f>
        <v>0</v>
      </c>
      <c r="K44" s="35">
        <f t="shared" ref="K44:K75" si="7">IF(OR(H44="PAYÉ",H44="",D44=""),0,MAX(0,$B$3-D44))</f>
        <v>0</v>
      </c>
    </row>
    <row r="45" spans="1:11" ht="17.100000000000001" customHeight="1" x14ac:dyDescent="0.25">
      <c r="A45" s="3"/>
      <c r="B45" s="15"/>
      <c r="C45" s="5"/>
      <c r="D45" s="5"/>
      <c r="E45" s="16"/>
      <c r="F45" s="7"/>
      <c r="G45" s="18" t="str">
        <f t="shared" si="4"/>
        <v/>
      </c>
      <c r="H45" s="34"/>
      <c r="I45" s="18">
        <f t="shared" si="5"/>
        <v>0</v>
      </c>
      <c r="J45" s="36">
        <f t="shared" si="6"/>
        <v>0</v>
      </c>
      <c r="K45" s="36">
        <f t="shared" si="7"/>
        <v>0</v>
      </c>
    </row>
    <row r="46" spans="1:11" ht="17.100000000000001" customHeight="1" x14ac:dyDescent="0.25">
      <c r="A46" s="3"/>
      <c r="B46" s="15"/>
      <c r="C46" s="5"/>
      <c r="D46" s="5"/>
      <c r="E46" s="16"/>
      <c r="F46" s="7"/>
      <c r="G46" s="17" t="str">
        <f t="shared" si="4"/>
        <v/>
      </c>
      <c r="H46" s="34"/>
      <c r="I46" s="17">
        <f t="shared" si="5"/>
        <v>0</v>
      </c>
      <c r="J46" s="35">
        <f t="shared" si="6"/>
        <v>0</v>
      </c>
      <c r="K46" s="35">
        <f t="shared" si="7"/>
        <v>0</v>
      </c>
    </row>
    <row r="47" spans="1:11" ht="17.100000000000001" customHeight="1" x14ac:dyDescent="0.25">
      <c r="A47" s="3"/>
      <c r="B47" s="15"/>
      <c r="C47" s="5"/>
      <c r="D47" s="5"/>
      <c r="E47" s="16"/>
      <c r="F47" s="7"/>
      <c r="G47" s="18" t="str">
        <f t="shared" si="4"/>
        <v/>
      </c>
      <c r="H47" s="34"/>
      <c r="I47" s="18">
        <f t="shared" si="5"/>
        <v>0</v>
      </c>
      <c r="J47" s="36">
        <f t="shared" si="6"/>
        <v>0</v>
      </c>
      <c r="K47" s="36">
        <f t="shared" si="7"/>
        <v>0</v>
      </c>
    </row>
    <row r="48" spans="1:11" ht="17.100000000000001" customHeight="1" x14ac:dyDescent="0.25">
      <c r="A48" s="3"/>
      <c r="B48" s="15"/>
      <c r="C48" s="5"/>
      <c r="D48" s="5"/>
      <c r="E48" s="16"/>
      <c r="F48" s="7"/>
      <c r="G48" s="17" t="str">
        <f t="shared" si="4"/>
        <v/>
      </c>
      <c r="H48" s="34"/>
      <c r="I48" s="17">
        <f t="shared" si="5"/>
        <v>0</v>
      </c>
      <c r="J48" s="35">
        <f t="shared" si="6"/>
        <v>0</v>
      </c>
      <c r="K48" s="35">
        <f t="shared" si="7"/>
        <v>0</v>
      </c>
    </row>
    <row r="49" spans="1:11" ht="17.100000000000001" customHeight="1" x14ac:dyDescent="0.25">
      <c r="A49" s="3"/>
      <c r="B49" s="15"/>
      <c r="C49" s="5"/>
      <c r="D49" s="5"/>
      <c r="E49" s="16"/>
      <c r="F49" s="7"/>
      <c r="G49" s="18" t="str">
        <f t="shared" si="4"/>
        <v/>
      </c>
      <c r="H49" s="34"/>
      <c r="I49" s="18">
        <f t="shared" si="5"/>
        <v>0</v>
      </c>
      <c r="J49" s="36">
        <f t="shared" si="6"/>
        <v>0</v>
      </c>
      <c r="K49" s="36">
        <f t="shared" si="7"/>
        <v>0</v>
      </c>
    </row>
    <row r="50" spans="1:11" ht="17.100000000000001" customHeight="1" x14ac:dyDescent="0.25">
      <c r="A50" s="3"/>
      <c r="B50" s="15"/>
      <c r="C50" s="5"/>
      <c r="D50" s="5"/>
      <c r="E50" s="16"/>
      <c r="F50" s="7"/>
      <c r="G50" s="17" t="str">
        <f t="shared" si="4"/>
        <v/>
      </c>
      <c r="H50" s="34"/>
      <c r="I50" s="17">
        <f t="shared" si="5"/>
        <v>0</v>
      </c>
      <c r="J50" s="35">
        <f t="shared" si="6"/>
        <v>0</v>
      </c>
      <c r="K50" s="35">
        <f t="shared" si="7"/>
        <v>0</v>
      </c>
    </row>
    <row r="51" spans="1:11" ht="17.100000000000001" customHeight="1" x14ac:dyDescent="0.25">
      <c r="A51" s="3"/>
      <c r="B51" s="15"/>
      <c r="C51" s="5"/>
      <c r="D51" s="5"/>
      <c r="E51" s="16"/>
      <c r="F51" s="7"/>
      <c r="G51" s="18" t="str">
        <f t="shared" si="4"/>
        <v/>
      </c>
      <c r="H51" s="34"/>
      <c r="I51" s="18">
        <f t="shared" si="5"/>
        <v>0</v>
      </c>
      <c r="J51" s="36">
        <f t="shared" si="6"/>
        <v>0</v>
      </c>
      <c r="K51" s="36">
        <f t="shared" si="7"/>
        <v>0</v>
      </c>
    </row>
    <row r="52" spans="1:11" ht="17.100000000000001" customHeight="1" x14ac:dyDescent="0.25">
      <c r="A52" s="3"/>
      <c r="B52" s="15"/>
      <c r="C52" s="5"/>
      <c r="D52" s="5"/>
      <c r="E52" s="16"/>
      <c r="F52" s="7"/>
      <c r="G52" s="17" t="str">
        <f t="shared" si="4"/>
        <v/>
      </c>
      <c r="H52" s="34"/>
      <c r="I52" s="17">
        <f t="shared" si="5"/>
        <v>0</v>
      </c>
      <c r="J52" s="35">
        <f t="shared" si="6"/>
        <v>0</v>
      </c>
      <c r="K52" s="35">
        <f t="shared" si="7"/>
        <v>0</v>
      </c>
    </row>
    <row r="53" spans="1:11" ht="17.100000000000001" customHeight="1" x14ac:dyDescent="0.25">
      <c r="A53" s="3"/>
      <c r="B53" s="15"/>
      <c r="C53" s="5"/>
      <c r="D53" s="5"/>
      <c r="E53" s="16"/>
      <c r="F53" s="7"/>
      <c r="G53" s="18" t="str">
        <f t="shared" si="4"/>
        <v/>
      </c>
      <c r="H53" s="34"/>
      <c r="I53" s="18">
        <f t="shared" si="5"/>
        <v>0</v>
      </c>
      <c r="J53" s="36">
        <f t="shared" si="6"/>
        <v>0</v>
      </c>
      <c r="K53" s="36">
        <f t="shared" si="7"/>
        <v>0</v>
      </c>
    </row>
    <row r="54" spans="1:11" ht="17.100000000000001" customHeight="1" x14ac:dyDescent="0.25">
      <c r="A54" s="3"/>
      <c r="B54" s="15"/>
      <c r="C54" s="5"/>
      <c r="D54" s="5"/>
      <c r="E54" s="16"/>
      <c r="F54" s="7"/>
      <c r="G54" s="17" t="str">
        <f t="shared" si="4"/>
        <v/>
      </c>
      <c r="H54" s="34"/>
      <c r="I54" s="17">
        <f t="shared" si="5"/>
        <v>0</v>
      </c>
      <c r="J54" s="35">
        <f t="shared" si="6"/>
        <v>0</v>
      </c>
      <c r="K54" s="35">
        <f t="shared" si="7"/>
        <v>0</v>
      </c>
    </row>
    <row r="55" spans="1:11" ht="17.100000000000001" customHeight="1" x14ac:dyDescent="0.25">
      <c r="A55" s="3"/>
      <c r="B55" s="15"/>
      <c r="C55" s="5"/>
      <c r="D55" s="5"/>
      <c r="E55" s="16"/>
      <c r="F55" s="7"/>
      <c r="G55" s="18" t="str">
        <f t="shared" si="4"/>
        <v/>
      </c>
      <c r="H55" s="34"/>
      <c r="I55" s="18">
        <f t="shared" si="5"/>
        <v>0</v>
      </c>
      <c r="J55" s="36">
        <f t="shared" si="6"/>
        <v>0</v>
      </c>
      <c r="K55" s="36">
        <f t="shared" si="7"/>
        <v>0</v>
      </c>
    </row>
    <row r="56" spans="1:11" ht="17.100000000000001" customHeight="1" x14ac:dyDescent="0.25">
      <c r="A56" s="3"/>
      <c r="B56" s="15"/>
      <c r="C56" s="5"/>
      <c r="D56" s="5"/>
      <c r="E56" s="16"/>
      <c r="F56" s="7"/>
      <c r="G56" s="17" t="str">
        <f t="shared" si="4"/>
        <v/>
      </c>
      <c r="H56" s="34"/>
      <c r="I56" s="17">
        <f t="shared" si="5"/>
        <v>0</v>
      </c>
      <c r="J56" s="35">
        <f t="shared" si="6"/>
        <v>0</v>
      </c>
      <c r="K56" s="35">
        <f t="shared" si="7"/>
        <v>0</v>
      </c>
    </row>
    <row r="57" spans="1:11" ht="17.100000000000001" customHeight="1" x14ac:dyDescent="0.25">
      <c r="A57" s="3"/>
      <c r="B57" s="15"/>
      <c r="C57" s="5"/>
      <c r="D57" s="5"/>
      <c r="E57" s="16"/>
      <c r="F57" s="7"/>
      <c r="G57" s="18" t="str">
        <f t="shared" si="4"/>
        <v/>
      </c>
      <c r="H57" s="34"/>
      <c r="I57" s="18">
        <f t="shared" si="5"/>
        <v>0</v>
      </c>
      <c r="J57" s="36">
        <f t="shared" si="6"/>
        <v>0</v>
      </c>
      <c r="K57" s="36">
        <f t="shared" si="7"/>
        <v>0</v>
      </c>
    </row>
    <row r="58" spans="1:11" ht="17.100000000000001" customHeight="1" x14ac:dyDescent="0.25">
      <c r="A58" s="3"/>
      <c r="B58" s="15"/>
      <c r="C58" s="5"/>
      <c r="D58" s="5"/>
      <c r="E58" s="16"/>
      <c r="F58" s="7"/>
      <c r="G58" s="17" t="str">
        <f t="shared" si="4"/>
        <v/>
      </c>
      <c r="H58" s="34"/>
      <c r="I58" s="17">
        <f t="shared" si="5"/>
        <v>0</v>
      </c>
      <c r="J58" s="35">
        <f t="shared" si="6"/>
        <v>0</v>
      </c>
      <c r="K58" s="35">
        <f t="shared" si="7"/>
        <v>0</v>
      </c>
    </row>
    <row r="59" spans="1:11" ht="17.100000000000001" customHeight="1" x14ac:dyDescent="0.25">
      <c r="A59" s="3"/>
      <c r="B59" s="15"/>
      <c r="C59" s="5"/>
      <c r="D59" s="5"/>
      <c r="E59" s="16"/>
      <c r="F59" s="7"/>
      <c r="G59" s="18" t="str">
        <f t="shared" si="4"/>
        <v/>
      </c>
      <c r="H59" s="34"/>
      <c r="I59" s="18">
        <f t="shared" si="5"/>
        <v>0</v>
      </c>
      <c r="J59" s="36">
        <f t="shared" si="6"/>
        <v>0</v>
      </c>
      <c r="K59" s="36">
        <f t="shared" si="7"/>
        <v>0</v>
      </c>
    </row>
    <row r="60" spans="1:11" ht="17.100000000000001" customHeight="1" x14ac:dyDescent="0.25">
      <c r="A60" s="3"/>
      <c r="B60" s="15"/>
      <c r="C60" s="5"/>
      <c r="D60" s="5"/>
      <c r="E60" s="16"/>
      <c r="F60" s="7"/>
      <c r="G60" s="17" t="str">
        <f t="shared" si="4"/>
        <v/>
      </c>
      <c r="H60" s="34"/>
      <c r="I60" s="17">
        <f t="shared" si="5"/>
        <v>0</v>
      </c>
      <c r="J60" s="35">
        <f t="shared" si="6"/>
        <v>0</v>
      </c>
      <c r="K60" s="35">
        <f t="shared" si="7"/>
        <v>0</v>
      </c>
    </row>
    <row r="61" spans="1:11" ht="17.100000000000001" customHeight="1" x14ac:dyDescent="0.25">
      <c r="A61" s="3"/>
      <c r="B61" s="15"/>
      <c r="C61" s="5"/>
      <c r="D61" s="5"/>
      <c r="E61" s="16"/>
      <c r="F61" s="7"/>
      <c r="G61" s="18" t="str">
        <f t="shared" si="4"/>
        <v/>
      </c>
      <c r="H61" s="34"/>
      <c r="I61" s="18">
        <f t="shared" si="5"/>
        <v>0</v>
      </c>
      <c r="J61" s="36">
        <f t="shared" si="6"/>
        <v>0</v>
      </c>
      <c r="K61" s="36">
        <f t="shared" si="7"/>
        <v>0</v>
      </c>
    </row>
    <row r="62" spans="1:11" ht="17.100000000000001" customHeight="1" x14ac:dyDescent="0.25">
      <c r="A62" s="3"/>
      <c r="B62" s="15"/>
      <c r="C62" s="5"/>
      <c r="D62" s="5"/>
      <c r="E62" s="16"/>
      <c r="F62" s="7"/>
      <c r="G62" s="17" t="str">
        <f t="shared" si="4"/>
        <v/>
      </c>
      <c r="H62" s="34"/>
      <c r="I62" s="17">
        <f t="shared" si="5"/>
        <v>0</v>
      </c>
      <c r="J62" s="35">
        <f t="shared" si="6"/>
        <v>0</v>
      </c>
      <c r="K62" s="35">
        <f t="shared" si="7"/>
        <v>0</v>
      </c>
    </row>
    <row r="63" spans="1:11" ht="17.100000000000001" customHeight="1" x14ac:dyDescent="0.25">
      <c r="A63" s="3"/>
      <c r="B63" s="15"/>
      <c r="C63" s="5"/>
      <c r="D63" s="5"/>
      <c r="E63" s="16"/>
      <c r="F63" s="7"/>
      <c r="G63" s="18" t="str">
        <f t="shared" si="4"/>
        <v/>
      </c>
      <c r="H63" s="34"/>
      <c r="I63" s="18">
        <f t="shared" si="5"/>
        <v>0</v>
      </c>
      <c r="J63" s="36">
        <f t="shared" si="6"/>
        <v>0</v>
      </c>
      <c r="K63" s="36">
        <f t="shared" si="7"/>
        <v>0</v>
      </c>
    </row>
    <row r="64" spans="1:11" ht="17.100000000000001" customHeight="1" x14ac:dyDescent="0.25">
      <c r="A64" s="3"/>
      <c r="B64" s="15"/>
      <c r="C64" s="5"/>
      <c r="D64" s="5"/>
      <c r="E64" s="16"/>
      <c r="F64" s="7"/>
      <c r="G64" s="17" t="str">
        <f t="shared" si="4"/>
        <v/>
      </c>
      <c r="H64" s="34"/>
      <c r="I64" s="17">
        <f t="shared" si="5"/>
        <v>0</v>
      </c>
      <c r="J64" s="35">
        <f t="shared" si="6"/>
        <v>0</v>
      </c>
      <c r="K64" s="35">
        <f t="shared" si="7"/>
        <v>0</v>
      </c>
    </row>
    <row r="65" spans="1:11" ht="17.100000000000001" customHeight="1" x14ac:dyDescent="0.25">
      <c r="A65" s="3"/>
      <c r="B65" s="15"/>
      <c r="C65" s="5"/>
      <c r="D65" s="5"/>
      <c r="E65" s="16"/>
      <c r="F65" s="7"/>
      <c r="G65" s="18" t="str">
        <f t="shared" si="4"/>
        <v/>
      </c>
      <c r="H65" s="34"/>
      <c r="I65" s="18">
        <f t="shared" si="5"/>
        <v>0</v>
      </c>
      <c r="J65" s="36">
        <f t="shared" si="6"/>
        <v>0</v>
      </c>
      <c r="K65" s="36">
        <f t="shared" si="7"/>
        <v>0</v>
      </c>
    </row>
    <row r="66" spans="1:11" ht="17.100000000000001" customHeight="1" x14ac:dyDescent="0.25">
      <c r="A66" s="3"/>
      <c r="B66" s="15"/>
      <c r="C66" s="5"/>
      <c r="D66" s="5"/>
      <c r="E66" s="16"/>
      <c r="F66" s="7"/>
      <c r="G66" s="17" t="str">
        <f t="shared" si="4"/>
        <v/>
      </c>
      <c r="H66" s="34"/>
      <c r="I66" s="17">
        <f t="shared" si="5"/>
        <v>0</v>
      </c>
      <c r="J66" s="35">
        <f t="shared" si="6"/>
        <v>0</v>
      </c>
      <c r="K66" s="35">
        <f t="shared" si="7"/>
        <v>0</v>
      </c>
    </row>
    <row r="67" spans="1:11" ht="17.100000000000001" customHeight="1" x14ac:dyDescent="0.25">
      <c r="A67" s="3"/>
      <c r="B67" s="15"/>
      <c r="C67" s="5"/>
      <c r="D67" s="5"/>
      <c r="E67" s="16"/>
      <c r="F67" s="7"/>
      <c r="G67" s="18" t="str">
        <f t="shared" si="4"/>
        <v/>
      </c>
      <c r="H67" s="34"/>
      <c r="I67" s="18">
        <f t="shared" si="5"/>
        <v>0</v>
      </c>
      <c r="J67" s="36">
        <f t="shared" si="6"/>
        <v>0</v>
      </c>
      <c r="K67" s="36">
        <f t="shared" si="7"/>
        <v>0</v>
      </c>
    </row>
    <row r="68" spans="1:11" ht="17.100000000000001" customHeight="1" x14ac:dyDescent="0.25">
      <c r="A68" s="3"/>
      <c r="B68" s="15"/>
      <c r="C68" s="5"/>
      <c r="D68" s="5"/>
      <c r="E68" s="16"/>
      <c r="F68" s="7"/>
      <c r="G68" s="17" t="str">
        <f t="shared" si="4"/>
        <v/>
      </c>
      <c r="H68" s="34"/>
      <c r="I68" s="17">
        <f t="shared" si="5"/>
        <v>0</v>
      </c>
      <c r="J68" s="35">
        <f t="shared" si="6"/>
        <v>0</v>
      </c>
      <c r="K68" s="35">
        <f t="shared" si="7"/>
        <v>0</v>
      </c>
    </row>
    <row r="69" spans="1:11" ht="17.100000000000001" customHeight="1" x14ac:dyDescent="0.25">
      <c r="A69" s="3"/>
      <c r="B69" s="15"/>
      <c r="C69" s="5"/>
      <c r="D69" s="5"/>
      <c r="E69" s="16"/>
      <c r="F69" s="7"/>
      <c r="G69" s="18" t="str">
        <f t="shared" si="4"/>
        <v/>
      </c>
      <c r="H69" s="34"/>
      <c r="I69" s="18">
        <f t="shared" si="5"/>
        <v>0</v>
      </c>
      <c r="J69" s="36">
        <f t="shared" si="6"/>
        <v>0</v>
      </c>
      <c r="K69" s="36">
        <f t="shared" si="7"/>
        <v>0</v>
      </c>
    </row>
    <row r="70" spans="1:11" ht="17.100000000000001" customHeight="1" x14ac:dyDescent="0.25">
      <c r="A70" s="3"/>
      <c r="B70" s="15"/>
      <c r="C70" s="5"/>
      <c r="D70" s="5"/>
      <c r="E70" s="16"/>
      <c r="F70" s="7"/>
      <c r="G70" s="17" t="str">
        <f t="shared" si="4"/>
        <v/>
      </c>
      <c r="H70" s="34"/>
      <c r="I70" s="17">
        <f t="shared" si="5"/>
        <v>0</v>
      </c>
      <c r="J70" s="35">
        <f t="shared" si="6"/>
        <v>0</v>
      </c>
      <c r="K70" s="35">
        <f t="shared" si="7"/>
        <v>0</v>
      </c>
    </row>
    <row r="71" spans="1:11" ht="17.100000000000001" customHeight="1" x14ac:dyDescent="0.25">
      <c r="A71" s="3"/>
      <c r="B71" s="15"/>
      <c r="C71" s="5"/>
      <c r="D71" s="5"/>
      <c r="E71" s="16"/>
      <c r="F71" s="7"/>
      <c r="G71" s="18" t="str">
        <f t="shared" si="4"/>
        <v/>
      </c>
      <c r="H71" s="34"/>
      <c r="I71" s="18">
        <f t="shared" si="5"/>
        <v>0</v>
      </c>
      <c r="J71" s="36">
        <f t="shared" si="6"/>
        <v>0</v>
      </c>
      <c r="K71" s="36">
        <f t="shared" si="7"/>
        <v>0</v>
      </c>
    </row>
    <row r="72" spans="1:11" ht="17.100000000000001" customHeight="1" x14ac:dyDescent="0.25">
      <c r="A72" s="3"/>
      <c r="B72" s="15"/>
      <c r="C72" s="5"/>
      <c r="D72" s="5"/>
      <c r="E72" s="16"/>
      <c r="F72" s="7"/>
      <c r="G72" s="17" t="str">
        <f t="shared" si="4"/>
        <v/>
      </c>
      <c r="H72" s="34"/>
      <c r="I72" s="17">
        <f t="shared" si="5"/>
        <v>0</v>
      </c>
      <c r="J72" s="35">
        <f t="shared" si="6"/>
        <v>0</v>
      </c>
      <c r="K72" s="35">
        <f t="shared" si="7"/>
        <v>0</v>
      </c>
    </row>
    <row r="73" spans="1:11" ht="17.100000000000001" customHeight="1" x14ac:dyDescent="0.25">
      <c r="A73" s="3"/>
      <c r="B73" s="15"/>
      <c r="C73" s="5"/>
      <c r="D73" s="5"/>
      <c r="E73" s="16"/>
      <c r="F73" s="7"/>
      <c r="G73" s="18" t="str">
        <f t="shared" si="4"/>
        <v/>
      </c>
      <c r="H73" s="34"/>
      <c r="I73" s="18">
        <f t="shared" si="5"/>
        <v>0</v>
      </c>
      <c r="J73" s="36">
        <f t="shared" si="6"/>
        <v>0</v>
      </c>
      <c r="K73" s="36">
        <f t="shared" si="7"/>
        <v>0</v>
      </c>
    </row>
    <row r="74" spans="1:11" ht="17.100000000000001" customHeight="1" x14ac:dyDescent="0.25">
      <c r="A74" s="3"/>
      <c r="B74" s="15"/>
      <c r="C74" s="5"/>
      <c r="D74" s="5"/>
      <c r="E74" s="16"/>
      <c r="F74" s="7"/>
      <c r="G74" s="17" t="str">
        <f t="shared" si="4"/>
        <v/>
      </c>
      <c r="H74" s="34"/>
      <c r="I74" s="17">
        <f t="shared" si="5"/>
        <v>0</v>
      </c>
      <c r="J74" s="35">
        <f t="shared" si="6"/>
        <v>0</v>
      </c>
      <c r="K74" s="35">
        <f t="shared" si="7"/>
        <v>0</v>
      </c>
    </row>
    <row r="75" spans="1:11" ht="17.100000000000001" customHeight="1" x14ac:dyDescent="0.25">
      <c r="A75" s="3"/>
      <c r="B75" s="15"/>
      <c r="C75" s="5"/>
      <c r="D75" s="5"/>
      <c r="E75" s="16"/>
      <c r="F75" s="7"/>
      <c r="G75" s="18" t="str">
        <f t="shared" si="4"/>
        <v/>
      </c>
      <c r="H75" s="34"/>
      <c r="I75" s="18">
        <f t="shared" si="5"/>
        <v>0</v>
      </c>
      <c r="J75" s="36">
        <f t="shared" si="6"/>
        <v>0</v>
      </c>
      <c r="K75" s="36">
        <f t="shared" si="7"/>
        <v>0</v>
      </c>
    </row>
    <row r="76" spans="1:11" ht="17.100000000000001" customHeight="1" x14ac:dyDescent="0.25">
      <c r="A76" s="3"/>
      <c r="B76" s="15"/>
      <c r="C76" s="5"/>
      <c r="D76" s="5"/>
      <c r="E76" s="16"/>
      <c r="F76" s="7"/>
      <c r="G76" s="17" t="str">
        <f t="shared" ref="G76:G107" si="8">IF(E76="","",IFERROR(E76*(1+F76),""))</f>
        <v/>
      </c>
      <c r="H76" s="34"/>
      <c r="I76" s="17">
        <f t="shared" ref="I76:I107" si="9">IF(OR(H76="",E76=""),0,IF(H76="PAYÉ",0,G76))</f>
        <v>0</v>
      </c>
      <c r="J76" s="35">
        <f t="shared" ref="J76:J111" si="10">IF(OR(H76="PAYÉ",H76="",C76=""),0,MAX(0,$B$3-C76))</f>
        <v>0</v>
      </c>
      <c r="K76" s="35">
        <f t="shared" ref="K76:K111" si="11">IF(OR(H76="PAYÉ",H76="",D76=""),0,MAX(0,$B$3-D76))</f>
        <v>0</v>
      </c>
    </row>
    <row r="77" spans="1:11" ht="17.100000000000001" customHeight="1" x14ac:dyDescent="0.25">
      <c r="A77" s="3"/>
      <c r="B77" s="15"/>
      <c r="C77" s="5"/>
      <c r="D77" s="5"/>
      <c r="E77" s="16"/>
      <c r="F77" s="7"/>
      <c r="G77" s="18" t="str">
        <f t="shared" si="8"/>
        <v/>
      </c>
      <c r="H77" s="34"/>
      <c r="I77" s="18">
        <f t="shared" si="9"/>
        <v>0</v>
      </c>
      <c r="J77" s="36">
        <f t="shared" si="10"/>
        <v>0</v>
      </c>
      <c r="K77" s="36">
        <f t="shared" si="11"/>
        <v>0</v>
      </c>
    </row>
    <row r="78" spans="1:11" ht="17.100000000000001" customHeight="1" x14ac:dyDescent="0.25">
      <c r="A78" s="3"/>
      <c r="B78" s="15"/>
      <c r="C78" s="5"/>
      <c r="D78" s="5"/>
      <c r="E78" s="16"/>
      <c r="F78" s="7"/>
      <c r="G78" s="17" t="str">
        <f t="shared" si="8"/>
        <v/>
      </c>
      <c r="H78" s="34"/>
      <c r="I78" s="17">
        <f t="shared" si="9"/>
        <v>0</v>
      </c>
      <c r="J78" s="35">
        <f t="shared" si="10"/>
        <v>0</v>
      </c>
      <c r="K78" s="35">
        <f t="shared" si="11"/>
        <v>0</v>
      </c>
    </row>
    <row r="79" spans="1:11" ht="17.100000000000001" customHeight="1" x14ac:dyDescent="0.25">
      <c r="A79" s="3"/>
      <c r="B79" s="15"/>
      <c r="C79" s="5"/>
      <c r="D79" s="5"/>
      <c r="E79" s="16"/>
      <c r="F79" s="7"/>
      <c r="G79" s="18" t="str">
        <f t="shared" si="8"/>
        <v/>
      </c>
      <c r="H79" s="34"/>
      <c r="I79" s="18">
        <f t="shared" si="9"/>
        <v>0</v>
      </c>
      <c r="J79" s="36">
        <f t="shared" si="10"/>
        <v>0</v>
      </c>
      <c r="K79" s="36">
        <f t="shared" si="11"/>
        <v>0</v>
      </c>
    </row>
    <row r="80" spans="1:11" ht="17.100000000000001" customHeight="1" x14ac:dyDescent="0.25">
      <c r="A80" s="3"/>
      <c r="B80" s="15"/>
      <c r="C80" s="5"/>
      <c r="D80" s="5"/>
      <c r="E80" s="16"/>
      <c r="F80" s="7"/>
      <c r="G80" s="17" t="str">
        <f t="shared" si="8"/>
        <v/>
      </c>
      <c r="H80" s="34"/>
      <c r="I80" s="17">
        <f t="shared" si="9"/>
        <v>0</v>
      </c>
      <c r="J80" s="35">
        <f t="shared" si="10"/>
        <v>0</v>
      </c>
      <c r="K80" s="35">
        <f t="shared" si="11"/>
        <v>0</v>
      </c>
    </row>
    <row r="81" spans="1:11" ht="17.100000000000001" customHeight="1" x14ac:dyDescent="0.25">
      <c r="A81" s="3"/>
      <c r="B81" s="15"/>
      <c r="C81" s="5"/>
      <c r="D81" s="5"/>
      <c r="E81" s="16"/>
      <c r="F81" s="7"/>
      <c r="G81" s="18" t="str">
        <f t="shared" si="8"/>
        <v/>
      </c>
      <c r="H81" s="34"/>
      <c r="I81" s="18">
        <f t="shared" si="9"/>
        <v>0</v>
      </c>
      <c r="J81" s="36">
        <f t="shared" si="10"/>
        <v>0</v>
      </c>
      <c r="K81" s="36">
        <f t="shared" si="11"/>
        <v>0</v>
      </c>
    </row>
    <row r="82" spans="1:11" ht="17.100000000000001" customHeight="1" x14ac:dyDescent="0.25">
      <c r="A82" s="3"/>
      <c r="B82" s="15"/>
      <c r="C82" s="5"/>
      <c r="D82" s="5"/>
      <c r="E82" s="16"/>
      <c r="F82" s="7"/>
      <c r="G82" s="17" t="str">
        <f t="shared" si="8"/>
        <v/>
      </c>
      <c r="H82" s="34"/>
      <c r="I82" s="17">
        <f t="shared" si="9"/>
        <v>0</v>
      </c>
      <c r="J82" s="35">
        <f t="shared" si="10"/>
        <v>0</v>
      </c>
      <c r="K82" s="35">
        <f t="shared" si="11"/>
        <v>0</v>
      </c>
    </row>
    <row r="83" spans="1:11" ht="17.100000000000001" customHeight="1" x14ac:dyDescent="0.25">
      <c r="A83" s="3"/>
      <c r="B83" s="15"/>
      <c r="C83" s="5"/>
      <c r="D83" s="5"/>
      <c r="E83" s="16"/>
      <c r="F83" s="7"/>
      <c r="G83" s="18" t="str">
        <f t="shared" si="8"/>
        <v/>
      </c>
      <c r="H83" s="34"/>
      <c r="I83" s="18">
        <f t="shared" si="9"/>
        <v>0</v>
      </c>
      <c r="J83" s="36">
        <f t="shared" si="10"/>
        <v>0</v>
      </c>
      <c r="K83" s="36">
        <f t="shared" si="11"/>
        <v>0</v>
      </c>
    </row>
    <row r="84" spans="1:11" ht="17.100000000000001" customHeight="1" x14ac:dyDescent="0.25">
      <c r="A84" s="3"/>
      <c r="B84" s="15"/>
      <c r="C84" s="5"/>
      <c r="D84" s="5"/>
      <c r="E84" s="16"/>
      <c r="F84" s="7"/>
      <c r="G84" s="17" t="str">
        <f t="shared" si="8"/>
        <v/>
      </c>
      <c r="H84" s="34"/>
      <c r="I84" s="17">
        <f t="shared" si="9"/>
        <v>0</v>
      </c>
      <c r="J84" s="35">
        <f t="shared" si="10"/>
        <v>0</v>
      </c>
      <c r="K84" s="35">
        <f t="shared" si="11"/>
        <v>0</v>
      </c>
    </row>
    <row r="85" spans="1:11" ht="17.100000000000001" customHeight="1" x14ac:dyDescent="0.25">
      <c r="A85" s="3"/>
      <c r="B85" s="15"/>
      <c r="C85" s="5"/>
      <c r="D85" s="5"/>
      <c r="E85" s="16"/>
      <c r="F85" s="7"/>
      <c r="G85" s="18" t="str">
        <f t="shared" si="8"/>
        <v/>
      </c>
      <c r="H85" s="34"/>
      <c r="I85" s="18">
        <f t="shared" si="9"/>
        <v>0</v>
      </c>
      <c r="J85" s="36">
        <f t="shared" si="10"/>
        <v>0</v>
      </c>
      <c r="K85" s="36">
        <f t="shared" si="11"/>
        <v>0</v>
      </c>
    </row>
    <row r="86" spans="1:11" ht="17.100000000000001" customHeight="1" x14ac:dyDescent="0.25">
      <c r="A86" s="3"/>
      <c r="B86" s="15"/>
      <c r="C86" s="5"/>
      <c r="D86" s="5"/>
      <c r="E86" s="16"/>
      <c r="F86" s="7"/>
      <c r="G86" s="17" t="str">
        <f t="shared" si="8"/>
        <v/>
      </c>
      <c r="H86" s="34"/>
      <c r="I86" s="17">
        <f t="shared" si="9"/>
        <v>0</v>
      </c>
      <c r="J86" s="35">
        <f t="shared" si="10"/>
        <v>0</v>
      </c>
      <c r="K86" s="35">
        <f t="shared" si="11"/>
        <v>0</v>
      </c>
    </row>
    <row r="87" spans="1:11" ht="17.100000000000001" customHeight="1" x14ac:dyDescent="0.25">
      <c r="A87" s="3"/>
      <c r="B87" s="15"/>
      <c r="C87" s="5"/>
      <c r="D87" s="5"/>
      <c r="E87" s="16"/>
      <c r="F87" s="7"/>
      <c r="G87" s="18" t="str">
        <f t="shared" si="8"/>
        <v/>
      </c>
      <c r="H87" s="34"/>
      <c r="I87" s="18">
        <f t="shared" si="9"/>
        <v>0</v>
      </c>
      <c r="J87" s="36">
        <f t="shared" si="10"/>
        <v>0</v>
      </c>
      <c r="K87" s="36">
        <f t="shared" si="11"/>
        <v>0</v>
      </c>
    </row>
    <row r="88" spans="1:11" ht="17.100000000000001" customHeight="1" x14ac:dyDescent="0.25">
      <c r="A88" s="3"/>
      <c r="B88" s="15"/>
      <c r="C88" s="5"/>
      <c r="D88" s="5"/>
      <c r="E88" s="16"/>
      <c r="F88" s="7"/>
      <c r="G88" s="17" t="str">
        <f t="shared" si="8"/>
        <v/>
      </c>
      <c r="H88" s="34"/>
      <c r="I88" s="17">
        <f t="shared" si="9"/>
        <v>0</v>
      </c>
      <c r="J88" s="35">
        <f t="shared" si="10"/>
        <v>0</v>
      </c>
      <c r="K88" s="35">
        <f t="shared" si="11"/>
        <v>0</v>
      </c>
    </row>
    <row r="89" spans="1:11" ht="17.100000000000001" customHeight="1" x14ac:dyDescent="0.25">
      <c r="A89" s="3"/>
      <c r="B89" s="15"/>
      <c r="C89" s="5"/>
      <c r="D89" s="5"/>
      <c r="E89" s="16"/>
      <c r="F89" s="7"/>
      <c r="G89" s="18" t="str">
        <f t="shared" si="8"/>
        <v/>
      </c>
      <c r="H89" s="34"/>
      <c r="I89" s="18">
        <f t="shared" si="9"/>
        <v>0</v>
      </c>
      <c r="J89" s="36">
        <f t="shared" si="10"/>
        <v>0</v>
      </c>
      <c r="K89" s="36">
        <f t="shared" si="11"/>
        <v>0</v>
      </c>
    </row>
    <row r="90" spans="1:11" ht="17.100000000000001" customHeight="1" x14ac:dyDescent="0.25">
      <c r="A90" s="3"/>
      <c r="B90" s="15"/>
      <c r="C90" s="5"/>
      <c r="D90" s="5"/>
      <c r="E90" s="16"/>
      <c r="F90" s="7"/>
      <c r="G90" s="17" t="str">
        <f t="shared" si="8"/>
        <v/>
      </c>
      <c r="H90" s="34"/>
      <c r="I90" s="17">
        <f t="shared" si="9"/>
        <v>0</v>
      </c>
      <c r="J90" s="35">
        <f t="shared" si="10"/>
        <v>0</v>
      </c>
      <c r="K90" s="35">
        <f t="shared" si="11"/>
        <v>0</v>
      </c>
    </row>
    <row r="91" spans="1:11" ht="17.100000000000001" customHeight="1" x14ac:dyDescent="0.25">
      <c r="A91" s="3"/>
      <c r="B91" s="15"/>
      <c r="C91" s="5"/>
      <c r="D91" s="5"/>
      <c r="E91" s="16"/>
      <c r="F91" s="7"/>
      <c r="G91" s="18" t="str">
        <f t="shared" si="8"/>
        <v/>
      </c>
      <c r="H91" s="34"/>
      <c r="I91" s="18">
        <f t="shared" si="9"/>
        <v>0</v>
      </c>
      <c r="J91" s="36">
        <f t="shared" si="10"/>
        <v>0</v>
      </c>
      <c r="K91" s="36">
        <f t="shared" si="11"/>
        <v>0</v>
      </c>
    </row>
    <row r="92" spans="1:11" ht="17.100000000000001" customHeight="1" x14ac:dyDescent="0.25">
      <c r="A92" s="3"/>
      <c r="B92" s="15"/>
      <c r="C92" s="5"/>
      <c r="D92" s="5"/>
      <c r="E92" s="16"/>
      <c r="F92" s="7"/>
      <c r="G92" s="17" t="str">
        <f t="shared" si="8"/>
        <v/>
      </c>
      <c r="H92" s="34"/>
      <c r="I92" s="17">
        <f t="shared" si="9"/>
        <v>0</v>
      </c>
      <c r="J92" s="35">
        <f t="shared" si="10"/>
        <v>0</v>
      </c>
      <c r="K92" s="35">
        <f t="shared" si="11"/>
        <v>0</v>
      </c>
    </row>
    <row r="93" spans="1:11" ht="17.100000000000001" customHeight="1" x14ac:dyDescent="0.25">
      <c r="A93" s="3"/>
      <c r="B93" s="15"/>
      <c r="C93" s="5"/>
      <c r="D93" s="5"/>
      <c r="E93" s="16"/>
      <c r="F93" s="7"/>
      <c r="G93" s="18" t="str">
        <f t="shared" si="8"/>
        <v/>
      </c>
      <c r="H93" s="34"/>
      <c r="I93" s="18">
        <f t="shared" si="9"/>
        <v>0</v>
      </c>
      <c r="J93" s="36">
        <f t="shared" si="10"/>
        <v>0</v>
      </c>
      <c r="K93" s="36">
        <f t="shared" si="11"/>
        <v>0</v>
      </c>
    </row>
    <row r="94" spans="1:11" ht="17.100000000000001" customHeight="1" x14ac:dyDescent="0.25">
      <c r="A94" s="3"/>
      <c r="B94" s="15"/>
      <c r="C94" s="5"/>
      <c r="D94" s="5"/>
      <c r="E94" s="16"/>
      <c r="F94" s="7"/>
      <c r="G94" s="17" t="str">
        <f t="shared" si="8"/>
        <v/>
      </c>
      <c r="H94" s="34"/>
      <c r="I94" s="17">
        <f t="shared" si="9"/>
        <v>0</v>
      </c>
      <c r="J94" s="35">
        <f t="shared" si="10"/>
        <v>0</v>
      </c>
      <c r="K94" s="35">
        <f t="shared" si="11"/>
        <v>0</v>
      </c>
    </row>
    <row r="95" spans="1:11" ht="17.100000000000001" customHeight="1" x14ac:dyDescent="0.25">
      <c r="A95" s="3"/>
      <c r="B95" s="15"/>
      <c r="C95" s="5"/>
      <c r="D95" s="5"/>
      <c r="E95" s="16"/>
      <c r="F95" s="7"/>
      <c r="G95" s="18" t="str">
        <f t="shared" si="8"/>
        <v/>
      </c>
      <c r="H95" s="34"/>
      <c r="I95" s="18">
        <f t="shared" si="9"/>
        <v>0</v>
      </c>
      <c r="J95" s="36">
        <f t="shared" si="10"/>
        <v>0</v>
      </c>
      <c r="K95" s="36">
        <f t="shared" si="11"/>
        <v>0</v>
      </c>
    </row>
    <row r="96" spans="1:11" ht="17.100000000000001" customHeight="1" x14ac:dyDescent="0.25">
      <c r="A96" s="3"/>
      <c r="B96" s="15"/>
      <c r="C96" s="5"/>
      <c r="D96" s="5"/>
      <c r="E96" s="16"/>
      <c r="F96" s="7"/>
      <c r="G96" s="17" t="str">
        <f t="shared" si="8"/>
        <v/>
      </c>
      <c r="H96" s="34"/>
      <c r="I96" s="17">
        <f t="shared" si="9"/>
        <v>0</v>
      </c>
      <c r="J96" s="35">
        <f t="shared" si="10"/>
        <v>0</v>
      </c>
      <c r="K96" s="35">
        <f t="shared" si="11"/>
        <v>0</v>
      </c>
    </row>
    <row r="97" spans="1:11" ht="17.100000000000001" customHeight="1" x14ac:dyDescent="0.25">
      <c r="A97" s="3"/>
      <c r="B97" s="15"/>
      <c r="C97" s="5"/>
      <c r="D97" s="5"/>
      <c r="E97" s="16"/>
      <c r="F97" s="7"/>
      <c r="G97" s="18" t="str">
        <f t="shared" si="8"/>
        <v/>
      </c>
      <c r="H97" s="34"/>
      <c r="I97" s="18">
        <f t="shared" si="9"/>
        <v>0</v>
      </c>
      <c r="J97" s="36">
        <f t="shared" si="10"/>
        <v>0</v>
      </c>
      <c r="K97" s="36">
        <f t="shared" si="11"/>
        <v>0</v>
      </c>
    </row>
    <row r="98" spans="1:11" ht="17.100000000000001" customHeight="1" x14ac:dyDescent="0.25">
      <c r="A98" s="3"/>
      <c r="B98" s="15"/>
      <c r="C98" s="5"/>
      <c r="D98" s="5"/>
      <c r="E98" s="16"/>
      <c r="F98" s="7"/>
      <c r="G98" s="17" t="str">
        <f t="shared" si="8"/>
        <v/>
      </c>
      <c r="H98" s="34"/>
      <c r="I98" s="17">
        <f t="shared" si="9"/>
        <v>0</v>
      </c>
      <c r="J98" s="35">
        <f t="shared" si="10"/>
        <v>0</v>
      </c>
      <c r="K98" s="35">
        <f t="shared" si="11"/>
        <v>0</v>
      </c>
    </row>
    <row r="99" spans="1:11" ht="17.100000000000001" customHeight="1" x14ac:dyDescent="0.25">
      <c r="A99" s="3"/>
      <c r="B99" s="15"/>
      <c r="C99" s="5"/>
      <c r="D99" s="5"/>
      <c r="E99" s="16"/>
      <c r="F99" s="7"/>
      <c r="G99" s="18" t="str">
        <f t="shared" si="8"/>
        <v/>
      </c>
      <c r="H99" s="34"/>
      <c r="I99" s="18">
        <f t="shared" si="9"/>
        <v>0</v>
      </c>
      <c r="J99" s="36">
        <f t="shared" si="10"/>
        <v>0</v>
      </c>
      <c r="K99" s="36">
        <f t="shared" si="11"/>
        <v>0</v>
      </c>
    </row>
    <row r="100" spans="1:11" ht="17.100000000000001" customHeight="1" x14ac:dyDescent="0.25">
      <c r="A100" s="3"/>
      <c r="B100" s="15"/>
      <c r="C100" s="5"/>
      <c r="D100" s="5"/>
      <c r="E100" s="16"/>
      <c r="F100" s="7"/>
      <c r="G100" s="17" t="str">
        <f t="shared" si="8"/>
        <v/>
      </c>
      <c r="H100" s="34"/>
      <c r="I100" s="17">
        <f t="shared" si="9"/>
        <v>0</v>
      </c>
      <c r="J100" s="35">
        <f t="shared" si="10"/>
        <v>0</v>
      </c>
      <c r="K100" s="35">
        <f t="shared" si="11"/>
        <v>0</v>
      </c>
    </row>
    <row r="101" spans="1:11" ht="17.100000000000001" customHeight="1" x14ac:dyDescent="0.25">
      <c r="A101" s="3"/>
      <c r="B101" s="15"/>
      <c r="C101" s="5"/>
      <c r="D101" s="5"/>
      <c r="E101" s="16"/>
      <c r="F101" s="7"/>
      <c r="G101" s="18" t="str">
        <f t="shared" si="8"/>
        <v/>
      </c>
      <c r="H101" s="34"/>
      <c r="I101" s="18">
        <f t="shared" si="9"/>
        <v>0</v>
      </c>
      <c r="J101" s="36">
        <f t="shared" si="10"/>
        <v>0</v>
      </c>
      <c r="K101" s="36">
        <f t="shared" si="11"/>
        <v>0</v>
      </c>
    </row>
    <row r="102" spans="1:11" ht="17.100000000000001" customHeight="1" x14ac:dyDescent="0.25">
      <c r="A102" s="3"/>
      <c r="B102" s="15"/>
      <c r="C102" s="5"/>
      <c r="D102" s="5"/>
      <c r="E102" s="16"/>
      <c r="F102" s="7"/>
      <c r="G102" s="17" t="str">
        <f t="shared" si="8"/>
        <v/>
      </c>
      <c r="H102" s="34"/>
      <c r="I102" s="17">
        <f t="shared" si="9"/>
        <v>0</v>
      </c>
      <c r="J102" s="35">
        <f t="shared" si="10"/>
        <v>0</v>
      </c>
      <c r="K102" s="35">
        <f t="shared" si="11"/>
        <v>0</v>
      </c>
    </row>
    <row r="103" spans="1:11" ht="17.100000000000001" customHeight="1" x14ac:dyDescent="0.25">
      <c r="A103" s="3"/>
      <c r="B103" s="15"/>
      <c r="C103" s="5"/>
      <c r="D103" s="5"/>
      <c r="E103" s="16"/>
      <c r="F103" s="7"/>
      <c r="G103" s="18" t="str">
        <f t="shared" si="8"/>
        <v/>
      </c>
      <c r="H103" s="34"/>
      <c r="I103" s="18">
        <f t="shared" si="9"/>
        <v>0</v>
      </c>
      <c r="J103" s="36">
        <f t="shared" si="10"/>
        <v>0</v>
      </c>
      <c r="K103" s="36">
        <f t="shared" si="11"/>
        <v>0</v>
      </c>
    </row>
    <row r="104" spans="1:11" ht="17.100000000000001" customHeight="1" x14ac:dyDescent="0.25">
      <c r="A104" s="3"/>
      <c r="B104" s="15"/>
      <c r="C104" s="5"/>
      <c r="D104" s="5"/>
      <c r="E104" s="16"/>
      <c r="F104" s="7"/>
      <c r="G104" s="17" t="str">
        <f t="shared" si="8"/>
        <v/>
      </c>
      <c r="H104" s="34"/>
      <c r="I104" s="17">
        <f t="shared" si="9"/>
        <v>0</v>
      </c>
      <c r="J104" s="35">
        <f t="shared" si="10"/>
        <v>0</v>
      </c>
      <c r="K104" s="35">
        <f t="shared" si="11"/>
        <v>0</v>
      </c>
    </row>
    <row r="105" spans="1:11" ht="17.100000000000001" customHeight="1" x14ac:dyDescent="0.25">
      <c r="A105" s="3"/>
      <c r="B105" s="15"/>
      <c r="C105" s="5"/>
      <c r="D105" s="5"/>
      <c r="E105" s="16"/>
      <c r="F105" s="7"/>
      <c r="G105" s="18" t="str">
        <f t="shared" si="8"/>
        <v/>
      </c>
      <c r="H105" s="34"/>
      <c r="I105" s="18">
        <f t="shared" si="9"/>
        <v>0</v>
      </c>
      <c r="J105" s="36">
        <f t="shared" si="10"/>
        <v>0</v>
      </c>
      <c r="K105" s="36">
        <f t="shared" si="11"/>
        <v>0</v>
      </c>
    </row>
    <row r="106" spans="1:11" ht="17.100000000000001" customHeight="1" x14ac:dyDescent="0.25">
      <c r="A106" s="3"/>
      <c r="B106" s="15"/>
      <c r="C106" s="5"/>
      <c r="D106" s="5"/>
      <c r="E106" s="16"/>
      <c r="F106" s="7"/>
      <c r="G106" s="17" t="str">
        <f t="shared" si="8"/>
        <v/>
      </c>
      <c r="H106" s="34"/>
      <c r="I106" s="17">
        <f t="shared" si="9"/>
        <v>0</v>
      </c>
      <c r="J106" s="35">
        <f t="shared" si="10"/>
        <v>0</v>
      </c>
      <c r="K106" s="35">
        <f t="shared" si="11"/>
        <v>0</v>
      </c>
    </row>
    <row r="107" spans="1:11" ht="17.100000000000001" customHeight="1" x14ac:dyDescent="0.25">
      <c r="A107" s="3"/>
      <c r="B107" s="15"/>
      <c r="C107" s="5"/>
      <c r="D107" s="5"/>
      <c r="E107" s="16"/>
      <c r="F107" s="7"/>
      <c r="G107" s="18" t="str">
        <f t="shared" si="8"/>
        <v/>
      </c>
      <c r="H107" s="34"/>
      <c r="I107" s="18">
        <f t="shared" si="9"/>
        <v>0</v>
      </c>
      <c r="J107" s="36">
        <f t="shared" si="10"/>
        <v>0</v>
      </c>
      <c r="K107" s="36">
        <f t="shared" si="11"/>
        <v>0</v>
      </c>
    </row>
    <row r="108" spans="1:11" ht="17.100000000000001" customHeight="1" x14ac:dyDescent="0.25">
      <c r="A108" s="3"/>
      <c r="B108" s="15"/>
      <c r="C108" s="5"/>
      <c r="D108" s="5"/>
      <c r="E108" s="16"/>
      <c r="F108" s="7"/>
      <c r="G108" s="17" t="str">
        <f t="shared" ref="G108:G111" si="12">IF(E108="","",IFERROR(E108*(1+F108),""))</f>
        <v/>
      </c>
      <c r="H108" s="34"/>
      <c r="I108" s="17">
        <f t="shared" ref="I108:I111" si="13">IF(OR(H108="",E108=""),0,IF(H108="PAYÉ",0,G108))</f>
        <v>0</v>
      </c>
      <c r="J108" s="35">
        <f t="shared" si="10"/>
        <v>0</v>
      </c>
      <c r="K108" s="35">
        <f t="shared" si="11"/>
        <v>0</v>
      </c>
    </row>
    <row r="109" spans="1:11" ht="17.100000000000001" customHeight="1" x14ac:dyDescent="0.25">
      <c r="A109" s="3"/>
      <c r="B109" s="15"/>
      <c r="C109" s="5"/>
      <c r="D109" s="5"/>
      <c r="E109" s="16"/>
      <c r="F109" s="7"/>
      <c r="G109" s="18" t="str">
        <f t="shared" si="12"/>
        <v/>
      </c>
      <c r="H109" s="34"/>
      <c r="I109" s="18">
        <f t="shared" si="13"/>
        <v>0</v>
      </c>
      <c r="J109" s="36">
        <f t="shared" si="10"/>
        <v>0</v>
      </c>
      <c r="K109" s="36">
        <f t="shared" si="11"/>
        <v>0</v>
      </c>
    </row>
    <row r="110" spans="1:11" ht="17.100000000000001" customHeight="1" x14ac:dyDescent="0.25">
      <c r="A110" s="3"/>
      <c r="B110" s="15"/>
      <c r="C110" s="5"/>
      <c r="D110" s="5"/>
      <c r="E110" s="16"/>
      <c r="F110" s="7"/>
      <c r="G110" s="17" t="str">
        <f t="shared" si="12"/>
        <v/>
      </c>
      <c r="H110" s="34"/>
      <c r="I110" s="17">
        <f t="shared" si="13"/>
        <v>0</v>
      </c>
      <c r="J110" s="35">
        <f t="shared" si="10"/>
        <v>0</v>
      </c>
      <c r="K110" s="35">
        <f t="shared" si="11"/>
        <v>0</v>
      </c>
    </row>
    <row r="111" spans="1:11" ht="17.100000000000001" customHeight="1" x14ac:dyDescent="0.25">
      <c r="A111" s="3"/>
      <c r="B111" s="15"/>
      <c r="C111" s="5"/>
      <c r="D111" s="5"/>
      <c r="E111" s="16"/>
      <c r="F111" s="7"/>
      <c r="G111" s="18" t="str">
        <f t="shared" si="12"/>
        <v/>
      </c>
      <c r="H111" s="34"/>
      <c r="I111" s="18">
        <f t="shared" si="13"/>
        <v>0</v>
      </c>
      <c r="J111" s="36">
        <f t="shared" si="10"/>
        <v>0</v>
      </c>
      <c r="K111" s="36">
        <f t="shared" si="11"/>
        <v>0</v>
      </c>
    </row>
    <row r="112" spans="1:11" ht="21.95" customHeight="1" x14ac:dyDescent="0.25">
      <c r="A112" s="37" t="s">
        <v>74</v>
      </c>
      <c r="B112" s="20"/>
      <c r="C112" s="20"/>
      <c r="D112" s="20"/>
      <c r="E112" s="38">
        <f>IFERROR(SUM(E12:E111),0)</f>
        <v>0</v>
      </c>
      <c r="F112" s="20"/>
      <c r="G112" s="38">
        <f>IFERROR(SUM(G12:G111),0)</f>
        <v>0</v>
      </c>
      <c r="H112" s="20"/>
      <c r="I112" s="38">
        <f>IFERROR(SUM(I12:I111),0)</f>
        <v>0</v>
      </c>
      <c r="J112" s="20"/>
      <c r="K112" s="20"/>
    </row>
  </sheetData>
  <mergeCells count="18">
    <mergeCell ref="C8:D8"/>
    <mergeCell ref="I6:K6"/>
    <mergeCell ref="E8:F8"/>
    <mergeCell ref="I7:K7"/>
    <mergeCell ref="A2:K2"/>
    <mergeCell ref="I8:K8"/>
    <mergeCell ref="A5:K5"/>
    <mergeCell ref="G6:H6"/>
    <mergeCell ref="G8:H8"/>
    <mergeCell ref="A8:B8"/>
    <mergeCell ref="E6:F6"/>
    <mergeCell ref="C6:D6"/>
    <mergeCell ref="C7:D7"/>
    <mergeCell ref="A7:B7"/>
    <mergeCell ref="G7:H7"/>
    <mergeCell ref="E7:F7"/>
    <mergeCell ref="A1:K1"/>
    <mergeCell ref="A6:B6"/>
  </mergeCells>
  <dataValidations count="2">
    <dataValidation type="list" allowBlank="1" sqref="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xr:uid="{00000000-0002-0000-0200-000000000000}">
      <formula1>"IMPAYÉ,EN COURS,PAYÉ"</formula1>
    </dataValidation>
    <dataValidation type="list" allowBlank="1" sqref="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xr:uid="{00000000-0002-0000-0200-000001000000}">
      <formula1>"0%,7%,10%,14%,20%"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2"/>
  <sheetViews>
    <sheetView showGridLines="0" workbookViewId="0"/>
  </sheetViews>
  <sheetFormatPr baseColWidth="10" defaultColWidth="9.140625" defaultRowHeight="15" x14ac:dyDescent="0.25"/>
  <cols>
    <col min="1" max="1" width="24" customWidth="1"/>
    <col min="2" max="2" width="14" customWidth="1"/>
    <col min="3" max="3" width="13" customWidth="1"/>
    <col min="4" max="4" width="12" customWidth="1"/>
    <col min="5" max="5" width="13" customWidth="1"/>
    <col min="6" max="6" width="14" customWidth="1"/>
    <col min="7" max="7" width="8" customWidth="1"/>
    <col min="8" max="8" width="14" customWidth="1"/>
    <col min="9" max="9" width="13" customWidth="1"/>
    <col min="10" max="10" width="14" customWidth="1"/>
    <col min="11" max="11" width="12" customWidth="1"/>
    <col min="12" max="13" width="13" hidden="1" customWidth="1"/>
  </cols>
  <sheetData>
    <row r="1" spans="1:13" ht="33.950000000000003" customHeight="1" x14ac:dyDescent="0.25">
      <c r="A1" s="90" t="s">
        <v>75</v>
      </c>
      <c r="B1" s="83"/>
      <c r="C1" s="83"/>
      <c r="D1" s="83"/>
      <c r="E1" s="83"/>
      <c r="F1" s="83"/>
      <c r="G1" s="83"/>
      <c r="H1" s="83"/>
      <c r="I1" s="83"/>
      <c r="J1" s="83"/>
      <c r="K1" s="83"/>
      <c r="L1" s="25" t="s">
        <v>76</v>
      </c>
      <c r="M1" s="26">
        <f>IFERROR(SUM(J12:J71)/('1_Balance_GL'!$C$214*(1+'0_Accueil'!$D$12)/360),0)</f>
        <v>0</v>
      </c>
    </row>
    <row r="2" spans="1:13" ht="30" customHeight="1" x14ac:dyDescent="0.25">
      <c r="A2" s="85" t="s">
        <v>77</v>
      </c>
      <c r="B2" s="83"/>
      <c r="C2" s="83"/>
      <c r="D2" s="83"/>
      <c r="E2" s="83"/>
      <c r="F2" s="83"/>
      <c r="G2" s="83"/>
      <c r="H2" s="83"/>
      <c r="I2" s="83"/>
      <c r="J2" s="83"/>
      <c r="K2" s="83"/>
      <c r="M2" s="26">
        <f>IFERROR(SUMPRODUCT(J12:J71,K12:K71)/SUM(J12:J71),0)</f>
        <v>0</v>
      </c>
    </row>
    <row r="3" spans="1:13" ht="21.95" customHeight="1" x14ac:dyDescent="0.25">
      <c r="A3" s="27" t="s">
        <v>51</v>
      </c>
      <c r="B3" s="28">
        <f>'0_Accueil'!$D$10</f>
        <v>46260</v>
      </c>
      <c r="C3" s="27" t="s">
        <v>78</v>
      </c>
      <c r="D3" s="96">
        <f>'1_Balance_GL'!$C$214</f>
        <v>0</v>
      </c>
      <c r="E3" s="83"/>
      <c r="F3" s="27" t="s">
        <v>53</v>
      </c>
      <c r="G3" s="30">
        <f>'0_Accueil'!$D$12</f>
        <v>0.2</v>
      </c>
      <c r="H3" s="2"/>
      <c r="I3" s="2"/>
      <c r="J3" s="2"/>
      <c r="K3" s="2"/>
      <c r="M3" s="26">
        <f>IFERROR(SUMPRODUCT(J12:J71,D12:D71)/SUM(J12:J71),0)</f>
        <v>0</v>
      </c>
    </row>
    <row r="4" spans="1:13" x14ac:dyDescent="0.25">
      <c r="M4" s="26">
        <f>IFERROR(M2-M3,0)</f>
        <v>0</v>
      </c>
    </row>
    <row r="5" spans="1:13" ht="26.1" customHeight="1" x14ac:dyDescent="0.25">
      <c r="A5" s="86" t="s">
        <v>79</v>
      </c>
      <c r="B5" s="83"/>
      <c r="C5" s="83"/>
      <c r="D5" s="83"/>
      <c r="E5" s="83"/>
      <c r="F5" s="83"/>
      <c r="G5" s="83"/>
      <c r="H5" s="83"/>
      <c r="I5" s="83"/>
      <c r="J5" s="83"/>
      <c r="K5" s="83"/>
      <c r="M5" s="32">
        <f>IFERROR(SUM(J12:J71),0)</f>
        <v>0</v>
      </c>
    </row>
    <row r="6" spans="1:13" ht="18" customHeight="1" x14ac:dyDescent="0.25">
      <c r="A6" s="93" t="s">
        <v>80</v>
      </c>
      <c r="B6" s="83"/>
      <c r="C6" s="83"/>
      <c r="D6" s="93" t="s">
        <v>81</v>
      </c>
      <c r="E6" s="83"/>
      <c r="F6" s="83"/>
      <c r="G6" s="93" t="s">
        <v>82</v>
      </c>
      <c r="H6" s="83"/>
      <c r="I6" s="93" t="s">
        <v>83</v>
      </c>
      <c r="J6" s="83"/>
      <c r="K6" s="83"/>
    </row>
    <row r="7" spans="1:13" ht="33.950000000000003" customHeight="1" x14ac:dyDescent="0.25">
      <c r="A7" s="91">
        <f>'3_Fournisseurs'!$M$1</f>
        <v>0</v>
      </c>
      <c r="B7" s="83"/>
      <c r="C7" s="83"/>
      <c r="D7" s="91">
        <f>'3_Fournisseurs'!$M$2</f>
        <v>0</v>
      </c>
      <c r="E7" s="83"/>
      <c r="F7" s="83"/>
      <c r="G7" s="91">
        <f>'3_Fournisseurs'!$M$3</f>
        <v>0</v>
      </c>
      <c r="H7" s="83"/>
      <c r="I7" s="95">
        <f>'3_Fournisseurs'!$M$4</f>
        <v>0</v>
      </c>
      <c r="J7" s="83"/>
      <c r="K7" s="83"/>
    </row>
    <row r="8" spans="1:13" ht="15.95" customHeight="1" x14ac:dyDescent="0.25">
      <c r="A8" s="94" t="s">
        <v>60</v>
      </c>
      <c r="B8" s="83"/>
      <c r="C8" s="83"/>
      <c r="D8" s="94" t="s">
        <v>60</v>
      </c>
      <c r="E8" s="83"/>
      <c r="F8" s="83"/>
      <c r="G8" s="94" t="s">
        <v>60</v>
      </c>
      <c r="H8" s="83"/>
      <c r="I8" s="94" t="s">
        <v>60</v>
      </c>
      <c r="J8" s="83"/>
      <c r="K8" s="83"/>
    </row>
    <row r="11" spans="1:13" ht="26.1" customHeight="1" x14ac:dyDescent="0.25">
      <c r="A11" s="33" t="s">
        <v>84</v>
      </c>
      <c r="B11" s="33" t="s">
        <v>64</v>
      </c>
      <c r="C11" s="33" t="s">
        <v>65</v>
      </c>
      <c r="D11" s="33" t="s">
        <v>85</v>
      </c>
      <c r="E11" s="33" t="s">
        <v>86</v>
      </c>
      <c r="F11" s="33" t="s">
        <v>67</v>
      </c>
      <c r="G11" s="33" t="s">
        <v>68</v>
      </c>
      <c r="H11" s="33" t="s">
        <v>69</v>
      </c>
      <c r="I11" s="33" t="s">
        <v>70</v>
      </c>
      <c r="J11" s="33" t="s">
        <v>34</v>
      </c>
      <c r="K11" s="33" t="s">
        <v>72</v>
      </c>
    </row>
    <row r="12" spans="1:13" ht="17.100000000000001" customHeight="1" x14ac:dyDescent="0.25">
      <c r="A12" s="3"/>
      <c r="B12" s="15"/>
      <c r="C12" s="5"/>
      <c r="D12" s="39"/>
      <c r="E12" s="40" t="str">
        <f t="shared" ref="E12:E43" si="0">IF(C12="","",C12+D12)</f>
        <v/>
      </c>
      <c r="F12" s="16"/>
      <c r="G12" s="7"/>
      <c r="H12" s="17" t="str">
        <f t="shared" ref="H12:H43" si="1">IF(F12="","",IFERROR(F12*(1+G12),""))</f>
        <v/>
      </c>
      <c r="I12" s="34"/>
      <c r="J12" s="17">
        <f t="shared" ref="J12:J43" si="2">IF(OR(I12="",F12=""),0,IF(I12="PAYÉ",0,H12))</f>
        <v>0</v>
      </c>
      <c r="K12" s="35">
        <f t="shared" ref="K12:K43" si="3">IF(OR(I12="PAYÉ",I12="",C12=""),0,MAX(0,$B$3-C12))</f>
        <v>0</v>
      </c>
    </row>
    <row r="13" spans="1:13" ht="17.100000000000001" customHeight="1" x14ac:dyDescent="0.25">
      <c r="A13" s="3"/>
      <c r="B13" s="15"/>
      <c r="C13" s="5"/>
      <c r="D13" s="39"/>
      <c r="E13" s="41" t="str">
        <f t="shared" si="0"/>
        <v/>
      </c>
      <c r="F13" s="16"/>
      <c r="G13" s="7"/>
      <c r="H13" s="18" t="str">
        <f t="shared" si="1"/>
        <v/>
      </c>
      <c r="I13" s="34"/>
      <c r="J13" s="18">
        <f t="shared" si="2"/>
        <v>0</v>
      </c>
      <c r="K13" s="36">
        <f t="shared" si="3"/>
        <v>0</v>
      </c>
    </row>
    <row r="14" spans="1:13" ht="17.100000000000001" customHeight="1" x14ac:dyDescent="0.25">
      <c r="A14" s="3"/>
      <c r="B14" s="15"/>
      <c r="C14" s="5"/>
      <c r="D14" s="39"/>
      <c r="E14" s="40" t="str">
        <f t="shared" si="0"/>
        <v/>
      </c>
      <c r="F14" s="16"/>
      <c r="G14" s="7"/>
      <c r="H14" s="17" t="str">
        <f t="shared" si="1"/>
        <v/>
      </c>
      <c r="I14" s="34"/>
      <c r="J14" s="17">
        <f t="shared" si="2"/>
        <v>0</v>
      </c>
      <c r="K14" s="35">
        <f t="shared" si="3"/>
        <v>0</v>
      </c>
    </row>
    <row r="15" spans="1:13" ht="17.100000000000001" customHeight="1" x14ac:dyDescent="0.25">
      <c r="A15" s="3"/>
      <c r="B15" s="15"/>
      <c r="C15" s="5"/>
      <c r="D15" s="39"/>
      <c r="E15" s="41" t="str">
        <f t="shared" si="0"/>
        <v/>
      </c>
      <c r="F15" s="16"/>
      <c r="G15" s="7"/>
      <c r="H15" s="18" t="str">
        <f t="shared" si="1"/>
        <v/>
      </c>
      <c r="I15" s="34"/>
      <c r="J15" s="18">
        <f t="shared" si="2"/>
        <v>0</v>
      </c>
      <c r="K15" s="36">
        <f t="shared" si="3"/>
        <v>0</v>
      </c>
    </row>
    <row r="16" spans="1:13" ht="17.100000000000001" customHeight="1" x14ac:dyDescent="0.25">
      <c r="A16" s="3"/>
      <c r="B16" s="15"/>
      <c r="C16" s="5"/>
      <c r="D16" s="39"/>
      <c r="E16" s="40" t="str">
        <f t="shared" si="0"/>
        <v/>
      </c>
      <c r="F16" s="16"/>
      <c r="G16" s="7"/>
      <c r="H16" s="17" t="str">
        <f t="shared" si="1"/>
        <v/>
      </c>
      <c r="I16" s="34"/>
      <c r="J16" s="17">
        <f t="shared" si="2"/>
        <v>0</v>
      </c>
      <c r="K16" s="35">
        <f t="shared" si="3"/>
        <v>0</v>
      </c>
    </row>
    <row r="17" spans="1:11" ht="17.100000000000001" customHeight="1" x14ac:dyDescent="0.25">
      <c r="A17" s="3"/>
      <c r="B17" s="15"/>
      <c r="C17" s="5"/>
      <c r="D17" s="39"/>
      <c r="E17" s="41" t="str">
        <f t="shared" si="0"/>
        <v/>
      </c>
      <c r="F17" s="16"/>
      <c r="G17" s="7"/>
      <c r="H17" s="18" t="str">
        <f t="shared" si="1"/>
        <v/>
      </c>
      <c r="I17" s="34"/>
      <c r="J17" s="18">
        <f t="shared" si="2"/>
        <v>0</v>
      </c>
      <c r="K17" s="36">
        <f t="shared" si="3"/>
        <v>0</v>
      </c>
    </row>
    <row r="18" spans="1:11" ht="17.100000000000001" customHeight="1" x14ac:dyDescent="0.25">
      <c r="A18" s="3"/>
      <c r="B18" s="15"/>
      <c r="C18" s="5"/>
      <c r="D18" s="39"/>
      <c r="E18" s="40" t="str">
        <f t="shared" si="0"/>
        <v/>
      </c>
      <c r="F18" s="16"/>
      <c r="G18" s="7"/>
      <c r="H18" s="17" t="str">
        <f t="shared" si="1"/>
        <v/>
      </c>
      <c r="I18" s="34"/>
      <c r="J18" s="17">
        <f t="shared" si="2"/>
        <v>0</v>
      </c>
      <c r="K18" s="35">
        <f t="shared" si="3"/>
        <v>0</v>
      </c>
    </row>
    <row r="19" spans="1:11" ht="17.100000000000001" customHeight="1" x14ac:dyDescent="0.25">
      <c r="A19" s="3"/>
      <c r="B19" s="15"/>
      <c r="C19" s="5"/>
      <c r="D19" s="39"/>
      <c r="E19" s="41" t="str">
        <f t="shared" si="0"/>
        <v/>
      </c>
      <c r="F19" s="16"/>
      <c r="G19" s="7"/>
      <c r="H19" s="18" t="str">
        <f t="shared" si="1"/>
        <v/>
      </c>
      <c r="I19" s="34"/>
      <c r="J19" s="18">
        <f t="shared" si="2"/>
        <v>0</v>
      </c>
      <c r="K19" s="36">
        <f t="shared" si="3"/>
        <v>0</v>
      </c>
    </row>
    <row r="20" spans="1:11" ht="17.100000000000001" customHeight="1" x14ac:dyDescent="0.25">
      <c r="A20" s="3"/>
      <c r="B20" s="15"/>
      <c r="C20" s="5"/>
      <c r="D20" s="39"/>
      <c r="E20" s="40" t="str">
        <f t="shared" si="0"/>
        <v/>
      </c>
      <c r="F20" s="16"/>
      <c r="G20" s="7"/>
      <c r="H20" s="17" t="str">
        <f t="shared" si="1"/>
        <v/>
      </c>
      <c r="I20" s="34"/>
      <c r="J20" s="17">
        <f t="shared" si="2"/>
        <v>0</v>
      </c>
      <c r="K20" s="35">
        <f t="shared" si="3"/>
        <v>0</v>
      </c>
    </row>
    <row r="21" spans="1:11" ht="17.100000000000001" customHeight="1" x14ac:dyDescent="0.25">
      <c r="A21" s="3"/>
      <c r="B21" s="15"/>
      <c r="C21" s="5"/>
      <c r="D21" s="39"/>
      <c r="E21" s="41" t="str">
        <f t="shared" si="0"/>
        <v/>
      </c>
      <c r="F21" s="16"/>
      <c r="G21" s="7"/>
      <c r="H21" s="18" t="str">
        <f t="shared" si="1"/>
        <v/>
      </c>
      <c r="I21" s="34"/>
      <c r="J21" s="18">
        <f t="shared" si="2"/>
        <v>0</v>
      </c>
      <c r="K21" s="36">
        <f t="shared" si="3"/>
        <v>0</v>
      </c>
    </row>
    <row r="22" spans="1:11" ht="17.100000000000001" customHeight="1" x14ac:dyDescent="0.25">
      <c r="A22" s="3"/>
      <c r="B22" s="15"/>
      <c r="C22" s="5"/>
      <c r="D22" s="39"/>
      <c r="E22" s="40" t="str">
        <f t="shared" si="0"/>
        <v/>
      </c>
      <c r="F22" s="16"/>
      <c r="G22" s="7"/>
      <c r="H22" s="17" t="str">
        <f t="shared" si="1"/>
        <v/>
      </c>
      <c r="I22" s="34"/>
      <c r="J22" s="17">
        <f t="shared" si="2"/>
        <v>0</v>
      </c>
      <c r="K22" s="35">
        <f t="shared" si="3"/>
        <v>0</v>
      </c>
    </row>
    <row r="23" spans="1:11" ht="17.100000000000001" customHeight="1" x14ac:dyDescent="0.25">
      <c r="A23" s="3"/>
      <c r="B23" s="15"/>
      <c r="C23" s="5"/>
      <c r="D23" s="39"/>
      <c r="E23" s="41" t="str">
        <f t="shared" si="0"/>
        <v/>
      </c>
      <c r="F23" s="16"/>
      <c r="G23" s="7"/>
      <c r="H23" s="18" t="str">
        <f t="shared" si="1"/>
        <v/>
      </c>
      <c r="I23" s="34"/>
      <c r="J23" s="18">
        <f t="shared" si="2"/>
        <v>0</v>
      </c>
      <c r="K23" s="36">
        <f t="shared" si="3"/>
        <v>0</v>
      </c>
    </row>
    <row r="24" spans="1:11" ht="17.100000000000001" customHeight="1" x14ac:dyDescent="0.25">
      <c r="A24" s="3"/>
      <c r="B24" s="15"/>
      <c r="C24" s="5"/>
      <c r="D24" s="39"/>
      <c r="E24" s="40" t="str">
        <f t="shared" si="0"/>
        <v/>
      </c>
      <c r="F24" s="16"/>
      <c r="G24" s="7"/>
      <c r="H24" s="17" t="str">
        <f t="shared" si="1"/>
        <v/>
      </c>
      <c r="I24" s="34"/>
      <c r="J24" s="17">
        <f t="shared" si="2"/>
        <v>0</v>
      </c>
      <c r="K24" s="35">
        <f t="shared" si="3"/>
        <v>0</v>
      </c>
    </row>
    <row r="25" spans="1:11" ht="17.100000000000001" customHeight="1" x14ac:dyDescent="0.25">
      <c r="A25" s="3"/>
      <c r="B25" s="15"/>
      <c r="C25" s="5"/>
      <c r="D25" s="39"/>
      <c r="E25" s="41" t="str">
        <f t="shared" si="0"/>
        <v/>
      </c>
      <c r="F25" s="16"/>
      <c r="G25" s="7"/>
      <c r="H25" s="18" t="str">
        <f t="shared" si="1"/>
        <v/>
      </c>
      <c r="I25" s="34"/>
      <c r="J25" s="18">
        <f t="shared" si="2"/>
        <v>0</v>
      </c>
      <c r="K25" s="36">
        <f t="shared" si="3"/>
        <v>0</v>
      </c>
    </row>
    <row r="26" spans="1:11" ht="17.100000000000001" customHeight="1" x14ac:dyDescent="0.25">
      <c r="A26" s="3"/>
      <c r="B26" s="15"/>
      <c r="C26" s="5"/>
      <c r="D26" s="39"/>
      <c r="E26" s="40" t="str">
        <f t="shared" si="0"/>
        <v/>
      </c>
      <c r="F26" s="16"/>
      <c r="G26" s="7"/>
      <c r="H26" s="17" t="str">
        <f t="shared" si="1"/>
        <v/>
      </c>
      <c r="I26" s="34"/>
      <c r="J26" s="17">
        <f t="shared" si="2"/>
        <v>0</v>
      </c>
      <c r="K26" s="35">
        <f t="shared" si="3"/>
        <v>0</v>
      </c>
    </row>
    <row r="27" spans="1:11" ht="17.100000000000001" customHeight="1" x14ac:dyDescent="0.25">
      <c r="A27" s="3"/>
      <c r="B27" s="15"/>
      <c r="C27" s="5"/>
      <c r="D27" s="39"/>
      <c r="E27" s="41" t="str">
        <f t="shared" si="0"/>
        <v/>
      </c>
      <c r="F27" s="16"/>
      <c r="G27" s="7"/>
      <c r="H27" s="18" t="str">
        <f t="shared" si="1"/>
        <v/>
      </c>
      <c r="I27" s="34"/>
      <c r="J27" s="18">
        <f t="shared" si="2"/>
        <v>0</v>
      </c>
      <c r="K27" s="36">
        <f t="shared" si="3"/>
        <v>0</v>
      </c>
    </row>
    <row r="28" spans="1:11" ht="17.100000000000001" customHeight="1" x14ac:dyDescent="0.25">
      <c r="A28" s="3"/>
      <c r="B28" s="15"/>
      <c r="C28" s="5"/>
      <c r="D28" s="39"/>
      <c r="E28" s="40" t="str">
        <f t="shared" si="0"/>
        <v/>
      </c>
      <c r="F28" s="16"/>
      <c r="G28" s="7"/>
      <c r="H28" s="17" t="str">
        <f t="shared" si="1"/>
        <v/>
      </c>
      <c r="I28" s="34"/>
      <c r="J28" s="17">
        <f t="shared" si="2"/>
        <v>0</v>
      </c>
      <c r="K28" s="35">
        <f t="shared" si="3"/>
        <v>0</v>
      </c>
    </row>
    <row r="29" spans="1:11" ht="17.100000000000001" customHeight="1" x14ac:dyDescent="0.25">
      <c r="A29" s="3"/>
      <c r="B29" s="15"/>
      <c r="C29" s="5"/>
      <c r="D29" s="39"/>
      <c r="E29" s="41" t="str">
        <f t="shared" si="0"/>
        <v/>
      </c>
      <c r="F29" s="16"/>
      <c r="G29" s="7"/>
      <c r="H29" s="18" t="str">
        <f t="shared" si="1"/>
        <v/>
      </c>
      <c r="I29" s="34"/>
      <c r="J29" s="18">
        <f t="shared" si="2"/>
        <v>0</v>
      </c>
      <c r="K29" s="36">
        <f t="shared" si="3"/>
        <v>0</v>
      </c>
    </row>
    <row r="30" spans="1:11" ht="17.100000000000001" customHeight="1" x14ac:dyDescent="0.25">
      <c r="A30" s="3"/>
      <c r="B30" s="15"/>
      <c r="C30" s="5"/>
      <c r="D30" s="39"/>
      <c r="E30" s="40" t="str">
        <f t="shared" si="0"/>
        <v/>
      </c>
      <c r="F30" s="16"/>
      <c r="G30" s="7"/>
      <c r="H30" s="17" t="str">
        <f t="shared" si="1"/>
        <v/>
      </c>
      <c r="I30" s="34"/>
      <c r="J30" s="17">
        <f t="shared" si="2"/>
        <v>0</v>
      </c>
      <c r="K30" s="35">
        <f t="shared" si="3"/>
        <v>0</v>
      </c>
    </row>
    <row r="31" spans="1:11" ht="17.100000000000001" customHeight="1" x14ac:dyDescent="0.25">
      <c r="A31" s="3"/>
      <c r="B31" s="15"/>
      <c r="C31" s="5"/>
      <c r="D31" s="39"/>
      <c r="E31" s="41" t="str">
        <f t="shared" si="0"/>
        <v/>
      </c>
      <c r="F31" s="16"/>
      <c r="G31" s="7"/>
      <c r="H31" s="18" t="str">
        <f t="shared" si="1"/>
        <v/>
      </c>
      <c r="I31" s="34"/>
      <c r="J31" s="18">
        <f t="shared" si="2"/>
        <v>0</v>
      </c>
      <c r="K31" s="36">
        <f t="shared" si="3"/>
        <v>0</v>
      </c>
    </row>
    <row r="32" spans="1:11" ht="17.100000000000001" customHeight="1" x14ac:dyDescent="0.25">
      <c r="A32" s="3"/>
      <c r="B32" s="15"/>
      <c r="C32" s="5"/>
      <c r="D32" s="39"/>
      <c r="E32" s="40" t="str">
        <f t="shared" si="0"/>
        <v/>
      </c>
      <c r="F32" s="16"/>
      <c r="G32" s="7"/>
      <c r="H32" s="17" t="str">
        <f t="shared" si="1"/>
        <v/>
      </c>
      <c r="I32" s="34"/>
      <c r="J32" s="17">
        <f t="shared" si="2"/>
        <v>0</v>
      </c>
      <c r="K32" s="35">
        <f t="shared" si="3"/>
        <v>0</v>
      </c>
    </row>
    <row r="33" spans="1:11" ht="17.100000000000001" customHeight="1" x14ac:dyDescent="0.25">
      <c r="A33" s="3"/>
      <c r="B33" s="15"/>
      <c r="C33" s="5"/>
      <c r="D33" s="39"/>
      <c r="E33" s="41" t="str">
        <f t="shared" si="0"/>
        <v/>
      </c>
      <c r="F33" s="16"/>
      <c r="G33" s="7"/>
      <c r="H33" s="18" t="str">
        <f t="shared" si="1"/>
        <v/>
      </c>
      <c r="I33" s="34"/>
      <c r="J33" s="18">
        <f t="shared" si="2"/>
        <v>0</v>
      </c>
      <c r="K33" s="36">
        <f t="shared" si="3"/>
        <v>0</v>
      </c>
    </row>
    <row r="34" spans="1:11" ht="17.100000000000001" customHeight="1" x14ac:dyDescent="0.25">
      <c r="A34" s="3"/>
      <c r="B34" s="15"/>
      <c r="C34" s="5"/>
      <c r="D34" s="39"/>
      <c r="E34" s="40" t="str">
        <f t="shared" si="0"/>
        <v/>
      </c>
      <c r="F34" s="16"/>
      <c r="G34" s="7"/>
      <c r="H34" s="17" t="str">
        <f t="shared" si="1"/>
        <v/>
      </c>
      <c r="I34" s="34"/>
      <c r="J34" s="17">
        <f t="shared" si="2"/>
        <v>0</v>
      </c>
      <c r="K34" s="35">
        <f t="shared" si="3"/>
        <v>0</v>
      </c>
    </row>
    <row r="35" spans="1:11" ht="17.100000000000001" customHeight="1" x14ac:dyDescent="0.25">
      <c r="A35" s="3"/>
      <c r="B35" s="15"/>
      <c r="C35" s="5"/>
      <c r="D35" s="39"/>
      <c r="E35" s="41" t="str">
        <f t="shared" si="0"/>
        <v/>
      </c>
      <c r="F35" s="16"/>
      <c r="G35" s="7"/>
      <c r="H35" s="18" t="str">
        <f t="shared" si="1"/>
        <v/>
      </c>
      <c r="I35" s="34"/>
      <c r="J35" s="18">
        <f t="shared" si="2"/>
        <v>0</v>
      </c>
      <c r="K35" s="36">
        <f t="shared" si="3"/>
        <v>0</v>
      </c>
    </row>
    <row r="36" spans="1:11" ht="17.100000000000001" customHeight="1" x14ac:dyDescent="0.25">
      <c r="A36" s="3"/>
      <c r="B36" s="15"/>
      <c r="C36" s="5"/>
      <c r="D36" s="39"/>
      <c r="E36" s="40" t="str">
        <f t="shared" si="0"/>
        <v/>
      </c>
      <c r="F36" s="16"/>
      <c r="G36" s="7"/>
      <c r="H36" s="17" t="str">
        <f t="shared" si="1"/>
        <v/>
      </c>
      <c r="I36" s="34"/>
      <c r="J36" s="17">
        <f t="shared" si="2"/>
        <v>0</v>
      </c>
      <c r="K36" s="35">
        <f t="shared" si="3"/>
        <v>0</v>
      </c>
    </row>
    <row r="37" spans="1:11" ht="17.100000000000001" customHeight="1" x14ac:dyDescent="0.25">
      <c r="A37" s="3"/>
      <c r="B37" s="15"/>
      <c r="C37" s="5"/>
      <c r="D37" s="39"/>
      <c r="E37" s="41" t="str">
        <f t="shared" si="0"/>
        <v/>
      </c>
      <c r="F37" s="16"/>
      <c r="G37" s="7"/>
      <c r="H37" s="18" t="str">
        <f t="shared" si="1"/>
        <v/>
      </c>
      <c r="I37" s="34"/>
      <c r="J37" s="18">
        <f t="shared" si="2"/>
        <v>0</v>
      </c>
      <c r="K37" s="36">
        <f t="shared" si="3"/>
        <v>0</v>
      </c>
    </row>
    <row r="38" spans="1:11" ht="17.100000000000001" customHeight="1" x14ac:dyDescent="0.25">
      <c r="A38" s="3"/>
      <c r="B38" s="15"/>
      <c r="C38" s="5"/>
      <c r="D38" s="39"/>
      <c r="E38" s="40" t="str">
        <f t="shared" si="0"/>
        <v/>
      </c>
      <c r="F38" s="16"/>
      <c r="G38" s="7"/>
      <c r="H38" s="17" t="str">
        <f t="shared" si="1"/>
        <v/>
      </c>
      <c r="I38" s="34"/>
      <c r="J38" s="17">
        <f t="shared" si="2"/>
        <v>0</v>
      </c>
      <c r="K38" s="35">
        <f t="shared" si="3"/>
        <v>0</v>
      </c>
    </row>
    <row r="39" spans="1:11" ht="17.100000000000001" customHeight="1" x14ac:dyDescent="0.25">
      <c r="A39" s="3"/>
      <c r="B39" s="15"/>
      <c r="C39" s="5"/>
      <c r="D39" s="39"/>
      <c r="E39" s="41" t="str">
        <f t="shared" si="0"/>
        <v/>
      </c>
      <c r="F39" s="16"/>
      <c r="G39" s="7"/>
      <c r="H39" s="18" t="str">
        <f t="shared" si="1"/>
        <v/>
      </c>
      <c r="I39" s="34"/>
      <c r="J39" s="18">
        <f t="shared" si="2"/>
        <v>0</v>
      </c>
      <c r="K39" s="36">
        <f t="shared" si="3"/>
        <v>0</v>
      </c>
    </row>
    <row r="40" spans="1:11" ht="17.100000000000001" customHeight="1" x14ac:dyDescent="0.25">
      <c r="A40" s="3"/>
      <c r="B40" s="15"/>
      <c r="C40" s="5"/>
      <c r="D40" s="39"/>
      <c r="E40" s="40" t="str">
        <f t="shared" si="0"/>
        <v/>
      </c>
      <c r="F40" s="16"/>
      <c r="G40" s="7"/>
      <c r="H40" s="17" t="str">
        <f t="shared" si="1"/>
        <v/>
      </c>
      <c r="I40" s="34"/>
      <c r="J40" s="17">
        <f t="shared" si="2"/>
        <v>0</v>
      </c>
      <c r="K40" s="35">
        <f t="shared" si="3"/>
        <v>0</v>
      </c>
    </row>
    <row r="41" spans="1:11" ht="17.100000000000001" customHeight="1" x14ac:dyDescent="0.25">
      <c r="A41" s="3"/>
      <c r="B41" s="15"/>
      <c r="C41" s="5"/>
      <c r="D41" s="39"/>
      <c r="E41" s="41" t="str">
        <f t="shared" si="0"/>
        <v/>
      </c>
      <c r="F41" s="16"/>
      <c r="G41" s="7"/>
      <c r="H41" s="18" t="str">
        <f t="shared" si="1"/>
        <v/>
      </c>
      <c r="I41" s="34"/>
      <c r="J41" s="18">
        <f t="shared" si="2"/>
        <v>0</v>
      </c>
      <c r="K41" s="36">
        <f t="shared" si="3"/>
        <v>0</v>
      </c>
    </row>
    <row r="42" spans="1:11" ht="17.100000000000001" customHeight="1" x14ac:dyDescent="0.25">
      <c r="A42" s="3"/>
      <c r="B42" s="15"/>
      <c r="C42" s="5"/>
      <c r="D42" s="39"/>
      <c r="E42" s="40" t="str">
        <f t="shared" si="0"/>
        <v/>
      </c>
      <c r="F42" s="16"/>
      <c r="G42" s="7"/>
      <c r="H42" s="17" t="str">
        <f t="shared" si="1"/>
        <v/>
      </c>
      <c r="I42" s="34"/>
      <c r="J42" s="17">
        <f t="shared" si="2"/>
        <v>0</v>
      </c>
      <c r="K42" s="35">
        <f t="shared" si="3"/>
        <v>0</v>
      </c>
    </row>
    <row r="43" spans="1:11" ht="17.100000000000001" customHeight="1" x14ac:dyDescent="0.25">
      <c r="A43" s="3"/>
      <c r="B43" s="15"/>
      <c r="C43" s="5"/>
      <c r="D43" s="39"/>
      <c r="E43" s="41" t="str">
        <f t="shared" si="0"/>
        <v/>
      </c>
      <c r="F43" s="16"/>
      <c r="G43" s="7"/>
      <c r="H43" s="18" t="str">
        <f t="shared" si="1"/>
        <v/>
      </c>
      <c r="I43" s="34"/>
      <c r="J43" s="18">
        <f t="shared" si="2"/>
        <v>0</v>
      </c>
      <c r="K43" s="36">
        <f t="shared" si="3"/>
        <v>0</v>
      </c>
    </row>
    <row r="44" spans="1:11" ht="17.100000000000001" customHeight="1" x14ac:dyDescent="0.25">
      <c r="A44" s="3"/>
      <c r="B44" s="15"/>
      <c r="C44" s="5"/>
      <c r="D44" s="39"/>
      <c r="E44" s="40" t="str">
        <f t="shared" ref="E44:E71" si="4">IF(C44="","",C44+D44)</f>
        <v/>
      </c>
      <c r="F44" s="16"/>
      <c r="G44" s="7"/>
      <c r="H44" s="17" t="str">
        <f t="shared" ref="H44:H71" si="5">IF(F44="","",IFERROR(F44*(1+G44),""))</f>
        <v/>
      </c>
      <c r="I44" s="34"/>
      <c r="J44" s="17">
        <f t="shared" ref="J44:J71" si="6">IF(OR(I44="",F44=""),0,IF(I44="PAYÉ",0,H44))</f>
        <v>0</v>
      </c>
      <c r="K44" s="35">
        <f t="shared" ref="K44:K71" si="7">IF(OR(I44="PAYÉ",I44="",C44=""),0,MAX(0,$B$3-C44))</f>
        <v>0</v>
      </c>
    </row>
    <row r="45" spans="1:11" ht="17.100000000000001" customHeight="1" x14ac:dyDescent="0.25">
      <c r="A45" s="3"/>
      <c r="B45" s="15"/>
      <c r="C45" s="5"/>
      <c r="D45" s="39"/>
      <c r="E45" s="41" t="str">
        <f t="shared" si="4"/>
        <v/>
      </c>
      <c r="F45" s="16"/>
      <c r="G45" s="7"/>
      <c r="H45" s="18" t="str">
        <f t="shared" si="5"/>
        <v/>
      </c>
      <c r="I45" s="34"/>
      <c r="J45" s="18">
        <f t="shared" si="6"/>
        <v>0</v>
      </c>
      <c r="K45" s="36">
        <f t="shared" si="7"/>
        <v>0</v>
      </c>
    </row>
    <row r="46" spans="1:11" ht="17.100000000000001" customHeight="1" x14ac:dyDescent="0.25">
      <c r="A46" s="3"/>
      <c r="B46" s="15"/>
      <c r="C46" s="5"/>
      <c r="D46" s="39"/>
      <c r="E46" s="40" t="str">
        <f t="shared" si="4"/>
        <v/>
      </c>
      <c r="F46" s="16"/>
      <c r="G46" s="7"/>
      <c r="H46" s="17" t="str">
        <f t="shared" si="5"/>
        <v/>
      </c>
      <c r="I46" s="34"/>
      <c r="J46" s="17">
        <f t="shared" si="6"/>
        <v>0</v>
      </c>
      <c r="K46" s="35">
        <f t="shared" si="7"/>
        <v>0</v>
      </c>
    </row>
    <row r="47" spans="1:11" ht="17.100000000000001" customHeight="1" x14ac:dyDescent="0.25">
      <c r="A47" s="3"/>
      <c r="B47" s="15"/>
      <c r="C47" s="5"/>
      <c r="D47" s="39"/>
      <c r="E47" s="41" t="str">
        <f t="shared" si="4"/>
        <v/>
      </c>
      <c r="F47" s="16"/>
      <c r="G47" s="7"/>
      <c r="H47" s="18" t="str">
        <f t="shared" si="5"/>
        <v/>
      </c>
      <c r="I47" s="34"/>
      <c r="J47" s="18">
        <f t="shared" si="6"/>
        <v>0</v>
      </c>
      <c r="K47" s="36">
        <f t="shared" si="7"/>
        <v>0</v>
      </c>
    </row>
    <row r="48" spans="1:11" ht="17.100000000000001" customHeight="1" x14ac:dyDescent="0.25">
      <c r="A48" s="3"/>
      <c r="B48" s="15"/>
      <c r="C48" s="5"/>
      <c r="D48" s="39"/>
      <c r="E48" s="40" t="str">
        <f t="shared" si="4"/>
        <v/>
      </c>
      <c r="F48" s="16"/>
      <c r="G48" s="7"/>
      <c r="H48" s="17" t="str">
        <f t="shared" si="5"/>
        <v/>
      </c>
      <c r="I48" s="34"/>
      <c r="J48" s="17">
        <f t="shared" si="6"/>
        <v>0</v>
      </c>
      <c r="K48" s="35">
        <f t="shared" si="7"/>
        <v>0</v>
      </c>
    </row>
    <row r="49" spans="1:11" ht="17.100000000000001" customHeight="1" x14ac:dyDescent="0.25">
      <c r="A49" s="3"/>
      <c r="B49" s="15"/>
      <c r="C49" s="5"/>
      <c r="D49" s="39"/>
      <c r="E49" s="41" t="str">
        <f t="shared" si="4"/>
        <v/>
      </c>
      <c r="F49" s="16"/>
      <c r="G49" s="7"/>
      <c r="H49" s="18" t="str">
        <f t="shared" si="5"/>
        <v/>
      </c>
      <c r="I49" s="34"/>
      <c r="J49" s="18">
        <f t="shared" si="6"/>
        <v>0</v>
      </c>
      <c r="K49" s="36">
        <f t="shared" si="7"/>
        <v>0</v>
      </c>
    </row>
    <row r="50" spans="1:11" ht="17.100000000000001" customHeight="1" x14ac:dyDescent="0.25">
      <c r="A50" s="3"/>
      <c r="B50" s="15"/>
      <c r="C50" s="5"/>
      <c r="D50" s="39"/>
      <c r="E50" s="40" t="str">
        <f t="shared" si="4"/>
        <v/>
      </c>
      <c r="F50" s="16"/>
      <c r="G50" s="7"/>
      <c r="H50" s="17" t="str">
        <f t="shared" si="5"/>
        <v/>
      </c>
      <c r="I50" s="34"/>
      <c r="J50" s="17">
        <f t="shared" si="6"/>
        <v>0</v>
      </c>
      <c r="K50" s="35">
        <f t="shared" si="7"/>
        <v>0</v>
      </c>
    </row>
    <row r="51" spans="1:11" ht="17.100000000000001" customHeight="1" x14ac:dyDescent="0.25">
      <c r="A51" s="3"/>
      <c r="B51" s="15"/>
      <c r="C51" s="5"/>
      <c r="D51" s="39"/>
      <c r="E51" s="41" t="str">
        <f t="shared" si="4"/>
        <v/>
      </c>
      <c r="F51" s="16"/>
      <c r="G51" s="7"/>
      <c r="H51" s="18" t="str">
        <f t="shared" si="5"/>
        <v/>
      </c>
      <c r="I51" s="34"/>
      <c r="J51" s="18">
        <f t="shared" si="6"/>
        <v>0</v>
      </c>
      <c r="K51" s="36">
        <f t="shared" si="7"/>
        <v>0</v>
      </c>
    </row>
    <row r="52" spans="1:11" ht="17.100000000000001" customHeight="1" x14ac:dyDescent="0.25">
      <c r="A52" s="3"/>
      <c r="B52" s="15"/>
      <c r="C52" s="5"/>
      <c r="D52" s="39"/>
      <c r="E52" s="40" t="str">
        <f t="shared" si="4"/>
        <v/>
      </c>
      <c r="F52" s="16"/>
      <c r="G52" s="7"/>
      <c r="H52" s="17" t="str">
        <f t="shared" si="5"/>
        <v/>
      </c>
      <c r="I52" s="34"/>
      <c r="J52" s="17">
        <f t="shared" si="6"/>
        <v>0</v>
      </c>
      <c r="K52" s="35">
        <f t="shared" si="7"/>
        <v>0</v>
      </c>
    </row>
    <row r="53" spans="1:11" ht="17.100000000000001" customHeight="1" x14ac:dyDescent="0.25">
      <c r="A53" s="3"/>
      <c r="B53" s="15"/>
      <c r="C53" s="5"/>
      <c r="D53" s="39"/>
      <c r="E53" s="41" t="str">
        <f t="shared" si="4"/>
        <v/>
      </c>
      <c r="F53" s="16"/>
      <c r="G53" s="7"/>
      <c r="H53" s="18" t="str">
        <f t="shared" si="5"/>
        <v/>
      </c>
      <c r="I53" s="34"/>
      <c r="J53" s="18">
        <f t="shared" si="6"/>
        <v>0</v>
      </c>
      <c r="K53" s="36">
        <f t="shared" si="7"/>
        <v>0</v>
      </c>
    </row>
    <row r="54" spans="1:11" ht="17.100000000000001" customHeight="1" x14ac:dyDescent="0.25">
      <c r="A54" s="3"/>
      <c r="B54" s="15"/>
      <c r="C54" s="5"/>
      <c r="D54" s="39"/>
      <c r="E54" s="40" t="str">
        <f t="shared" si="4"/>
        <v/>
      </c>
      <c r="F54" s="16"/>
      <c r="G54" s="7"/>
      <c r="H54" s="17" t="str">
        <f t="shared" si="5"/>
        <v/>
      </c>
      <c r="I54" s="34"/>
      <c r="J54" s="17">
        <f t="shared" si="6"/>
        <v>0</v>
      </c>
      <c r="K54" s="35">
        <f t="shared" si="7"/>
        <v>0</v>
      </c>
    </row>
    <row r="55" spans="1:11" ht="17.100000000000001" customHeight="1" x14ac:dyDescent="0.25">
      <c r="A55" s="3"/>
      <c r="B55" s="15"/>
      <c r="C55" s="5"/>
      <c r="D55" s="39"/>
      <c r="E55" s="41" t="str">
        <f t="shared" si="4"/>
        <v/>
      </c>
      <c r="F55" s="16"/>
      <c r="G55" s="7"/>
      <c r="H55" s="18" t="str">
        <f t="shared" si="5"/>
        <v/>
      </c>
      <c r="I55" s="34"/>
      <c r="J55" s="18">
        <f t="shared" si="6"/>
        <v>0</v>
      </c>
      <c r="K55" s="36">
        <f t="shared" si="7"/>
        <v>0</v>
      </c>
    </row>
    <row r="56" spans="1:11" ht="17.100000000000001" customHeight="1" x14ac:dyDescent="0.25">
      <c r="A56" s="3"/>
      <c r="B56" s="15"/>
      <c r="C56" s="5"/>
      <c r="D56" s="39"/>
      <c r="E56" s="40" t="str">
        <f t="shared" si="4"/>
        <v/>
      </c>
      <c r="F56" s="16"/>
      <c r="G56" s="7"/>
      <c r="H56" s="17" t="str">
        <f t="shared" si="5"/>
        <v/>
      </c>
      <c r="I56" s="34"/>
      <c r="J56" s="17">
        <f t="shared" si="6"/>
        <v>0</v>
      </c>
      <c r="K56" s="35">
        <f t="shared" si="7"/>
        <v>0</v>
      </c>
    </row>
    <row r="57" spans="1:11" ht="17.100000000000001" customHeight="1" x14ac:dyDescent="0.25">
      <c r="A57" s="3"/>
      <c r="B57" s="15"/>
      <c r="C57" s="5"/>
      <c r="D57" s="39"/>
      <c r="E57" s="41" t="str">
        <f t="shared" si="4"/>
        <v/>
      </c>
      <c r="F57" s="16"/>
      <c r="G57" s="7"/>
      <c r="H57" s="18" t="str">
        <f t="shared" si="5"/>
        <v/>
      </c>
      <c r="I57" s="34"/>
      <c r="J57" s="18">
        <f t="shared" si="6"/>
        <v>0</v>
      </c>
      <c r="K57" s="36">
        <f t="shared" si="7"/>
        <v>0</v>
      </c>
    </row>
    <row r="58" spans="1:11" ht="17.100000000000001" customHeight="1" x14ac:dyDescent="0.25">
      <c r="A58" s="3"/>
      <c r="B58" s="15"/>
      <c r="C58" s="5"/>
      <c r="D58" s="39"/>
      <c r="E58" s="40" t="str">
        <f t="shared" si="4"/>
        <v/>
      </c>
      <c r="F58" s="16"/>
      <c r="G58" s="7"/>
      <c r="H58" s="17" t="str">
        <f t="shared" si="5"/>
        <v/>
      </c>
      <c r="I58" s="34"/>
      <c r="J58" s="17">
        <f t="shared" si="6"/>
        <v>0</v>
      </c>
      <c r="K58" s="35">
        <f t="shared" si="7"/>
        <v>0</v>
      </c>
    </row>
    <row r="59" spans="1:11" ht="17.100000000000001" customHeight="1" x14ac:dyDescent="0.25">
      <c r="A59" s="3"/>
      <c r="B59" s="15"/>
      <c r="C59" s="5"/>
      <c r="D59" s="39"/>
      <c r="E59" s="41" t="str">
        <f t="shared" si="4"/>
        <v/>
      </c>
      <c r="F59" s="16"/>
      <c r="G59" s="7"/>
      <c r="H59" s="18" t="str">
        <f t="shared" si="5"/>
        <v/>
      </c>
      <c r="I59" s="34"/>
      <c r="J59" s="18">
        <f t="shared" si="6"/>
        <v>0</v>
      </c>
      <c r="K59" s="36">
        <f t="shared" si="7"/>
        <v>0</v>
      </c>
    </row>
    <row r="60" spans="1:11" ht="17.100000000000001" customHeight="1" x14ac:dyDescent="0.25">
      <c r="A60" s="3"/>
      <c r="B60" s="15"/>
      <c r="C60" s="5"/>
      <c r="D60" s="39"/>
      <c r="E60" s="40" t="str">
        <f t="shared" si="4"/>
        <v/>
      </c>
      <c r="F60" s="16"/>
      <c r="G60" s="7"/>
      <c r="H60" s="17" t="str">
        <f t="shared" si="5"/>
        <v/>
      </c>
      <c r="I60" s="34"/>
      <c r="J60" s="17">
        <f t="shared" si="6"/>
        <v>0</v>
      </c>
      <c r="K60" s="35">
        <f t="shared" si="7"/>
        <v>0</v>
      </c>
    </row>
    <row r="61" spans="1:11" ht="17.100000000000001" customHeight="1" x14ac:dyDescent="0.25">
      <c r="A61" s="3"/>
      <c r="B61" s="15"/>
      <c r="C61" s="5"/>
      <c r="D61" s="39"/>
      <c r="E61" s="41" t="str">
        <f t="shared" si="4"/>
        <v/>
      </c>
      <c r="F61" s="16"/>
      <c r="G61" s="7"/>
      <c r="H61" s="18" t="str">
        <f t="shared" si="5"/>
        <v/>
      </c>
      <c r="I61" s="34"/>
      <c r="J61" s="18">
        <f t="shared" si="6"/>
        <v>0</v>
      </c>
      <c r="K61" s="36">
        <f t="shared" si="7"/>
        <v>0</v>
      </c>
    </row>
    <row r="62" spans="1:11" ht="17.100000000000001" customHeight="1" x14ac:dyDescent="0.25">
      <c r="A62" s="3"/>
      <c r="B62" s="15"/>
      <c r="C62" s="5"/>
      <c r="D62" s="39"/>
      <c r="E62" s="40" t="str">
        <f t="shared" si="4"/>
        <v/>
      </c>
      <c r="F62" s="16"/>
      <c r="G62" s="7"/>
      <c r="H62" s="17" t="str">
        <f t="shared" si="5"/>
        <v/>
      </c>
      <c r="I62" s="34"/>
      <c r="J62" s="17">
        <f t="shared" si="6"/>
        <v>0</v>
      </c>
      <c r="K62" s="35">
        <f t="shared" si="7"/>
        <v>0</v>
      </c>
    </row>
    <row r="63" spans="1:11" ht="17.100000000000001" customHeight="1" x14ac:dyDescent="0.25">
      <c r="A63" s="3"/>
      <c r="B63" s="15"/>
      <c r="C63" s="5"/>
      <c r="D63" s="39"/>
      <c r="E63" s="41" t="str">
        <f t="shared" si="4"/>
        <v/>
      </c>
      <c r="F63" s="16"/>
      <c r="G63" s="7"/>
      <c r="H63" s="18" t="str">
        <f t="shared" si="5"/>
        <v/>
      </c>
      <c r="I63" s="34"/>
      <c r="J63" s="18">
        <f t="shared" si="6"/>
        <v>0</v>
      </c>
      <c r="K63" s="36">
        <f t="shared" si="7"/>
        <v>0</v>
      </c>
    </row>
    <row r="64" spans="1:11" ht="17.100000000000001" customHeight="1" x14ac:dyDescent="0.25">
      <c r="A64" s="3"/>
      <c r="B64" s="15"/>
      <c r="C64" s="5"/>
      <c r="D64" s="39"/>
      <c r="E64" s="40" t="str">
        <f t="shared" si="4"/>
        <v/>
      </c>
      <c r="F64" s="16"/>
      <c r="G64" s="7"/>
      <c r="H64" s="17" t="str">
        <f t="shared" si="5"/>
        <v/>
      </c>
      <c r="I64" s="34"/>
      <c r="J64" s="17">
        <f t="shared" si="6"/>
        <v>0</v>
      </c>
      <c r="K64" s="35">
        <f t="shared" si="7"/>
        <v>0</v>
      </c>
    </row>
    <row r="65" spans="1:11" ht="17.100000000000001" customHeight="1" x14ac:dyDescent="0.25">
      <c r="A65" s="3"/>
      <c r="B65" s="15"/>
      <c r="C65" s="5"/>
      <c r="D65" s="39"/>
      <c r="E65" s="41" t="str">
        <f t="shared" si="4"/>
        <v/>
      </c>
      <c r="F65" s="16"/>
      <c r="G65" s="7"/>
      <c r="H65" s="18" t="str">
        <f t="shared" si="5"/>
        <v/>
      </c>
      <c r="I65" s="34"/>
      <c r="J65" s="18">
        <f t="shared" si="6"/>
        <v>0</v>
      </c>
      <c r="K65" s="36">
        <f t="shared" si="7"/>
        <v>0</v>
      </c>
    </row>
    <row r="66" spans="1:11" ht="17.100000000000001" customHeight="1" x14ac:dyDescent="0.25">
      <c r="A66" s="3"/>
      <c r="B66" s="15"/>
      <c r="C66" s="5"/>
      <c r="D66" s="39"/>
      <c r="E66" s="40" t="str">
        <f t="shared" si="4"/>
        <v/>
      </c>
      <c r="F66" s="16"/>
      <c r="G66" s="7"/>
      <c r="H66" s="17" t="str">
        <f t="shared" si="5"/>
        <v/>
      </c>
      <c r="I66" s="34"/>
      <c r="J66" s="17">
        <f t="shared" si="6"/>
        <v>0</v>
      </c>
      <c r="K66" s="35">
        <f t="shared" si="7"/>
        <v>0</v>
      </c>
    </row>
    <row r="67" spans="1:11" ht="17.100000000000001" customHeight="1" x14ac:dyDescent="0.25">
      <c r="A67" s="3"/>
      <c r="B67" s="15"/>
      <c r="C67" s="5"/>
      <c r="D67" s="39"/>
      <c r="E67" s="41" t="str">
        <f t="shared" si="4"/>
        <v/>
      </c>
      <c r="F67" s="16"/>
      <c r="G67" s="7"/>
      <c r="H67" s="18" t="str">
        <f t="shared" si="5"/>
        <v/>
      </c>
      <c r="I67" s="34"/>
      <c r="J67" s="18">
        <f t="shared" si="6"/>
        <v>0</v>
      </c>
      <c r="K67" s="36">
        <f t="shared" si="7"/>
        <v>0</v>
      </c>
    </row>
    <row r="68" spans="1:11" ht="17.100000000000001" customHeight="1" x14ac:dyDescent="0.25">
      <c r="A68" s="3"/>
      <c r="B68" s="15"/>
      <c r="C68" s="5"/>
      <c r="D68" s="39"/>
      <c r="E68" s="40" t="str">
        <f t="shared" si="4"/>
        <v/>
      </c>
      <c r="F68" s="16"/>
      <c r="G68" s="7"/>
      <c r="H68" s="17" t="str">
        <f t="shared" si="5"/>
        <v/>
      </c>
      <c r="I68" s="34"/>
      <c r="J68" s="17">
        <f t="shared" si="6"/>
        <v>0</v>
      </c>
      <c r="K68" s="35">
        <f t="shared" si="7"/>
        <v>0</v>
      </c>
    </row>
    <row r="69" spans="1:11" ht="17.100000000000001" customHeight="1" x14ac:dyDescent="0.25">
      <c r="A69" s="3"/>
      <c r="B69" s="15"/>
      <c r="C69" s="5"/>
      <c r="D69" s="39"/>
      <c r="E69" s="41" t="str">
        <f t="shared" si="4"/>
        <v/>
      </c>
      <c r="F69" s="16"/>
      <c r="G69" s="7"/>
      <c r="H69" s="18" t="str">
        <f t="shared" si="5"/>
        <v/>
      </c>
      <c r="I69" s="34"/>
      <c r="J69" s="18">
        <f t="shared" si="6"/>
        <v>0</v>
      </c>
      <c r="K69" s="36">
        <f t="shared" si="7"/>
        <v>0</v>
      </c>
    </row>
    <row r="70" spans="1:11" ht="17.100000000000001" customHeight="1" x14ac:dyDescent="0.25">
      <c r="A70" s="3"/>
      <c r="B70" s="15"/>
      <c r="C70" s="5"/>
      <c r="D70" s="39"/>
      <c r="E70" s="40" t="str">
        <f t="shared" si="4"/>
        <v/>
      </c>
      <c r="F70" s="16"/>
      <c r="G70" s="7"/>
      <c r="H70" s="17" t="str">
        <f t="shared" si="5"/>
        <v/>
      </c>
      <c r="I70" s="34"/>
      <c r="J70" s="17">
        <f t="shared" si="6"/>
        <v>0</v>
      </c>
      <c r="K70" s="35">
        <f t="shared" si="7"/>
        <v>0</v>
      </c>
    </row>
    <row r="71" spans="1:11" ht="17.100000000000001" customHeight="1" x14ac:dyDescent="0.25">
      <c r="A71" s="3"/>
      <c r="B71" s="15"/>
      <c r="C71" s="5"/>
      <c r="D71" s="39"/>
      <c r="E71" s="41" t="str">
        <f t="shared" si="4"/>
        <v/>
      </c>
      <c r="F71" s="16"/>
      <c r="G71" s="7"/>
      <c r="H71" s="18" t="str">
        <f t="shared" si="5"/>
        <v/>
      </c>
      <c r="I71" s="34"/>
      <c r="J71" s="18">
        <f t="shared" si="6"/>
        <v>0</v>
      </c>
      <c r="K71" s="36">
        <f t="shared" si="7"/>
        <v>0</v>
      </c>
    </row>
    <row r="72" spans="1:11" ht="21.95" customHeight="1" x14ac:dyDescent="0.25">
      <c r="A72" s="37" t="s">
        <v>74</v>
      </c>
      <c r="B72" s="20"/>
      <c r="C72" s="20"/>
      <c r="D72" s="20"/>
      <c r="E72" s="20"/>
      <c r="F72" s="38">
        <f>IFERROR(SUM(F12:F71),0)</f>
        <v>0</v>
      </c>
      <c r="G72" s="20"/>
      <c r="H72" s="38">
        <f>IFERROR(SUM(H12:H71),0)</f>
        <v>0</v>
      </c>
      <c r="I72" s="20"/>
      <c r="J72" s="38">
        <f>IFERROR(SUM(J12:J71),0)</f>
        <v>0</v>
      </c>
      <c r="K72" s="20"/>
    </row>
  </sheetData>
  <mergeCells count="16">
    <mergeCell ref="A1:K1"/>
    <mergeCell ref="I7:K7"/>
    <mergeCell ref="I6:K6"/>
    <mergeCell ref="A2:K2"/>
    <mergeCell ref="I8:K8"/>
    <mergeCell ref="A5:K5"/>
    <mergeCell ref="G6:H6"/>
    <mergeCell ref="D7:F7"/>
    <mergeCell ref="A7:C7"/>
    <mergeCell ref="D3:E3"/>
    <mergeCell ref="G8:H8"/>
    <mergeCell ref="D8:F8"/>
    <mergeCell ref="G7:H7"/>
    <mergeCell ref="A8:C8"/>
    <mergeCell ref="A6:C6"/>
    <mergeCell ref="D6:F6"/>
  </mergeCells>
  <dataValidations count="3">
    <dataValidation type="list" allowBlank="1" sqref="I12 I13 I14 I15 I16 I17 I18 I19 I20 I21 I22 I23 I24 I25 I26 I27 I28 I29 I30 I31 I32 I33 I34 I35 I36 I37 I38 I39 I40 I41 I42 I43 I44 I45 I46 I47 I48 I49 I50 I51 I52 I53 I54 I55 I56 I57 I58 I59 I60 I61 I62 I63 I64 I65 I66 I67 I68 I69 I70 I71" xr:uid="{00000000-0002-0000-0300-000000000000}">
      <formula1>"DÛ,EN COURS,PAYÉ"</formula1>
    </dataValidation>
    <dataValidation type="list" allowBlank="1" sqref="G12 G13 G14 G15 G16 G17 G18 G19 G20 G21 G22 G23 G24 G25 G26 G27 G28 G29 G30 G31 G32 G33 G34 G35 G36 G37 G38 G39 G40 G41 G42 G43 G44 G45 G46 G47 G48 G49 G50 G51 G52 G53 G54 G55 G56 G57 G58 G59 G60 G61 G62 G63 G64 G65 G66 G67 G68 G69 G70 G71" xr:uid="{00000000-0002-0000-0300-000001000000}">
      <formula1>"0%,7%,10%,14%,20%"</formula1>
    </dataValidation>
    <dataValidation type="list" allowBlank="1" sqref="D12 D13 D14 D15 D16 D17 D18 D19 D20 D21 D22 D23 D24 D25 D26 D27 D28 D29 D30 D31 D32 D33 D34 D35 D36 D37 D38 D39 D40 D41 D42 D43 D44 D45 D46 D47 D48 D49 D50 D51 D52 D53 D54 D55 D56 D57 D58 D59 D60 D61 D62 D63 D64 D65 D66 D67 D68 D69 D70 D71" xr:uid="{00000000-0002-0000-0300-000002000000}">
      <formula1>"0,30,45,60,90,120"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workbookViewId="0"/>
  </sheetViews>
  <sheetFormatPr baseColWidth="10" defaultColWidth="9.140625" defaultRowHeight="15" x14ac:dyDescent="0.25"/>
  <cols>
    <col min="1" max="1" width="28" customWidth="1"/>
    <col min="2" max="4" width="16" customWidth="1"/>
    <col min="5" max="5" width="18" customWidth="1"/>
    <col min="6" max="7" width="12" customWidth="1"/>
    <col min="8" max="8" width="14" customWidth="1"/>
  </cols>
  <sheetData>
    <row r="1" spans="1:8" ht="33.950000000000003" customHeight="1" x14ac:dyDescent="0.25">
      <c r="A1" s="90" t="s">
        <v>87</v>
      </c>
      <c r="B1" s="83"/>
      <c r="C1" s="83"/>
      <c r="D1" s="83"/>
      <c r="E1" s="83"/>
      <c r="F1" s="83"/>
      <c r="G1" s="83"/>
    </row>
    <row r="2" spans="1:8" ht="39.950000000000003" customHeight="1" x14ac:dyDescent="0.25">
      <c r="A2" s="85" t="s">
        <v>88</v>
      </c>
      <c r="B2" s="83"/>
      <c r="C2" s="83"/>
      <c r="D2" s="83"/>
      <c r="E2" s="83"/>
      <c r="F2" s="83"/>
      <c r="G2" s="83"/>
      <c r="H2" s="25" t="s">
        <v>76</v>
      </c>
    </row>
    <row r="3" spans="1:8" x14ac:dyDescent="0.25">
      <c r="H3" s="26">
        <f>IFERROR(D11/E11*360,0)</f>
        <v>0</v>
      </c>
    </row>
    <row r="4" spans="1:8" ht="30" customHeight="1" x14ac:dyDescent="0.25">
      <c r="A4" s="42" t="s">
        <v>89</v>
      </c>
      <c r="B4" s="42" t="s">
        <v>90</v>
      </c>
      <c r="C4" s="42" t="s">
        <v>91</v>
      </c>
      <c r="D4" s="42" t="s">
        <v>92</v>
      </c>
      <c r="E4" s="42" t="s">
        <v>93</v>
      </c>
      <c r="F4" s="42" t="s">
        <v>94</v>
      </c>
      <c r="G4" s="42" t="s">
        <v>95</v>
      </c>
      <c r="H4" s="26">
        <f>IFERROR(E11/D11,0)</f>
        <v>0</v>
      </c>
    </row>
    <row r="5" spans="1:8" ht="21.95" customHeight="1" x14ac:dyDescent="0.25">
      <c r="A5" s="3" t="s">
        <v>96</v>
      </c>
      <c r="B5" s="6"/>
      <c r="C5" s="6"/>
      <c r="D5" s="43" t="str">
        <f t="shared" ref="D5:D10" si="0">IF(AND(B5="",C5=""),"",(B5+C5)/2)</f>
        <v/>
      </c>
      <c r="E5" s="6"/>
      <c r="F5" s="44" t="str">
        <f t="shared" ref="F5:F10" si="1">IF(OR(D5="",E5=""),"",IFERROR(D5/E5*360,""))</f>
        <v/>
      </c>
      <c r="G5" s="45" t="str">
        <f t="shared" ref="G5:G10" si="2">IF(OR(D5="",E5=""),"",IFERROR(E5/D5,""))</f>
        <v/>
      </c>
      <c r="H5" s="32">
        <f>IFERROR(D11,0)</f>
        <v>0</v>
      </c>
    </row>
    <row r="6" spans="1:8" ht="21.95" customHeight="1" x14ac:dyDescent="0.25">
      <c r="A6" s="3" t="s">
        <v>97</v>
      </c>
      <c r="B6" s="6"/>
      <c r="C6" s="6"/>
      <c r="D6" s="46" t="str">
        <f t="shared" si="0"/>
        <v/>
      </c>
      <c r="E6" s="6"/>
      <c r="F6" s="47" t="str">
        <f t="shared" si="1"/>
        <v/>
      </c>
      <c r="G6" s="48" t="str">
        <f t="shared" si="2"/>
        <v/>
      </c>
    </row>
    <row r="7" spans="1:8" ht="21.95" customHeight="1" x14ac:dyDescent="0.25">
      <c r="A7" s="3" t="s">
        <v>98</v>
      </c>
      <c r="B7" s="6"/>
      <c r="C7" s="6"/>
      <c r="D7" s="43" t="str">
        <f t="shared" si="0"/>
        <v/>
      </c>
      <c r="E7" s="6"/>
      <c r="F7" s="44" t="str">
        <f t="shared" si="1"/>
        <v/>
      </c>
      <c r="G7" s="45" t="str">
        <f t="shared" si="2"/>
        <v/>
      </c>
    </row>
    <row r="8" spans="1:8" ht="21.95" customHeight="1" x14ac:dyDescent="0.25">
      <c r="A8" s="3" t="s">
        <v>99</v>
      </c>
      <c r="B8" s="6"/>
      <c r="C8" s="6"/>
      <c r="D8" s="46" t="str">
        <f t="shared" si="0"/>
        <v/>
      </c>
      <c r="E8" s="6"/>
      <c r="F8" s="47" t="str">
        <f t="shared" si="1"/>
        <v/>
      </c>
      <c r="G8" s="48" t="str">
        <f t="shared" si="2"/>
        <v/>
      </c>
    </row>
    <row r="9" spans="1:8" ht="21.95" customHeight="1" x14ac:dyDescent="0.25">
      <c r="A9" s="49"/>
      <c r="B9" s="6"/>
      <c r="C9" s="6"/>
      <c r="D9" s="43" t="str">
        <f t="shared" si="0"/>
        <v/>
      </c>
      <c r="E9" s="6"/>
      <c r="F9" s="44" t="str">
        <f t="shared" si="1"/>
        <v/>
      </c>
      <c r="G9" s="45" t="str">
        <f t="shared" si="2"/>
        <v/>
      </c>
    </row>
    <row r="10" spans="1:8" ht="21.95" customHeight="1" x14ac:dyDescent="0.25">
      <c r="A10" s="49"/>
      <c r="B10" s="6"/>
      <c r="C10" s="6"/>
      <c r="D10" s="46" t="str">
        <f t="shared" si="0"/>
        <v/>
      </c>
      <c r="E10" s="6"/>
      <c r="F10" s="47" t="str">
        <f t="shared" si="1"/>
        <v/>
      </c>
      <c r="G10" s="48" t="str">
        <f t="shared" si="2"/>
        <v/>
      </c>
    </row>
    <row r="11" spans="1:8" ht="27.95" customHeight="1" x14ac:dyDescent="0.25">
      <c r="A11" s="50" t="s">
        <v>100</v>
      </c>
      <c r="B11" s="38">
        <f>IFERROR(SUM(B5:B10),0)</f>
        <v>0</v>
      </c>
      <c r="C11" s="38">
        <f>IFERROR(SUM(C5:C10),0)</f>
        <v>0</v>
      </c>
      <c r="D11" s="38">
        <f>IFERROR(SUM(D5:D10),0)</f>
        <v>0</v>
      </c>
      <c r="E11" s="38">
        <f>IFERROR(SUM(E5:E10),0)</f>
        <v>0</v>
      </c>
      <c r="F11" s="51">
        <f>IFERROR(D11/E11*360,0)</f>
        <v>0</v>
      </c>
      <c r="G11" s="51">
        <f>IFERROR(E11/D11,0)</f>
        <v>0</v>
      </c>
    </row>
    <row r="13" spans="1:8" ht="26.1" customHeight="1" x14ac:dyDescent="0.25">
      <c r="A13" s="86" t="s">
        <v>101</v>
      </c>
      <c r="B13" s="83"/>
      <c r="C13" s="83"/>
      <c r="D13" s="83"/>
      <c r="E13" s="83"/>
      <c r="F13" s="83"/>
      <c r="G13" s="83"/>
    </row>
    <row r="14" spans="1:8" ht="45.95" customHeight="1" x14ac:dyDescent="0.25">
      <c r="A14" s="98" t="s">
        <v>102</v>
      </c>
      <c r="B14" s="83"/>
      <c r="C14" s="97">
        <f>IFERROR(D11/E11*360,0)</f>
        <v>0</v>
      </c>
      <c r="D14" s="83"/>
      <c r="E14" s="85" t="s">
        <v>103</v>
      </c>
      <c r="F14" s="83"/>
      <c r="G14" s="83"/>
    </row>
  </sheetData>
  <mergeCells count="6">
    <mergeCell ref="A13:G13"/>
    <mergeCell ref="A1:G1"/>
    <mergeCell ref="E14:G14"/>
    <mergeCell ref="C14:D14"/>
    <mergeCell ref="A14:B14"/>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44"/>
  <sheetViews>
    <sheetView showGridLines="0" workbookViewId="0"/>
  </sheetViews>
  <sheetFormatPr baseColWidth="10" defaultColWidth="9.140625" defaultRowHeight="15" x14ac:dyDescent="0.25"/>
  <cols>
    <col min="1" max="1" width="2" customWidth="1"/>
    <col min="2" max="2" width="22" customWidth="1"/>
    <col min="3" max="3" width="14" customWidth="1"/>
    <col min="4" max="4" width="3" customWidth="1"/>
    <col min="5" max="5" width="22" customWidth="1"/>
    <col min="6" max="6" width="14" customWidth="1"/>
    <col min="7" max="7" width="3" customWidth="1"/>
    <col min="8" max="8" width="22" customWidth="1"/>
    <col min="9" max="9" width="14" customWidth="1"/>
    <col min="10" max="10" width="2" customWidth="1"/>
  </cols>
  <sheetData>
    <row r="1" spans="2:9" ht="45.95" customHeight="1" x14ac:dyDescent="0.25">
      <c r="B1" s="102" t="s">
        <v>104</v>
      </c>
      <c r="C1" s="83"/>
      <c r="D1" s="83"/>
      <c r="E1" s="83"/>
      <c r="F1" s="83"/>
      <c r="G1" s="83"/>
      <c r="H1" s="83"/>
      <c r="I1" s="83"/>
    </row>
    <row r="2" spans="2:9" ht="21.95" customHeight="1" x14ac:dyDescent="0.25">
      <c r="B2" s="111" t="str">
        <f>'0_Accueil'!$D$8</f>
        <v>dss</v>
      </c>
      <c r="C2" s="83"/>
      <c r="D2" s="83"/>
      <c r="E2" s="83"/>
      <c r="F2" s="83"/>
      <c r="G2" s="116">
        <f>'0_Accueil'!$D$10</f>
        <v>46260</v>
      </c>
      <c r="H2" s="83"/>
      <c r="I2" s="83"/>
    </row>
    <row r="3" spans="2:9" ht="3.95" customHeight="1" x14ac:dyDescent="0.25">
      <c r="B3" s="88"/>
      <c r="C3" s="83"/>
      <c r="D3" s="83"/>
      <c r="E3" s="83"/>
      <c r="F3" s="83"/>
      <c r="G3" s="83"/>
      <c r="H3" s="83"/>
      <c r="I3" s="83"/>
    </row>
    <row r="4" spans="2:9" ht="33.950000000000003" customHeight="1" x14ac:dyDescent="0.25">
      <c r="B4" s="101" t="s">
        <v>105</v>
      </c>
      <c r="C4" s="83"/>
      <c r="D4" s="83"/>
      <c r="E4" s="83"/>
      <c r="F4" s="83"/>
      <c r="G4" s="83"/>
      <c r="H4" s="83"/>
      <c r="I4" s="83"/>
    </row>
    <row r="5" spans="2:9" ht="6" customHeight="1" x14ac:dyDescent="0.25"/>
    <row r="6" spans="2:9" ht="26.1" customHeight="1" x14ac:dyDescent="0.25">
      <c r="B6" s="86" t="s">
        <v>106</v>
      </c>
      <c r="C6" s="83"/>
      <c r="D6" s="83"/>
      <c r="E6" s="83"/>
      <c r="F6" s="83"/>
      <c r="G6" s="83"/>
      <c r="H6" s="83"/>
      <c r="I6" s="83"/>
    </row>
    <row r="7" spans="2:9" ht="26.1" customHeight="1" x14ac:dyDescent="0.25">
      <c r="B7" s="1" t="s">
        <v>107</v>
      </c>
      <c r="C7" s="52" t="s">
        <v>108</v>
      </c>
      <c r="D7" s="121" t="str">
        <f>"   →  Vous regardez actuellement : "&amp;$C$7</f>
        <v xml:space="preserve">   →  Vous regardez actuellement : ÉCHÉANCIER</v>
      </c>
      <c r="E7" s="83"/>
      <c r="F7" s="83"/>
      <c r="G7" s="83"/>
      <c r="H7" s="83"/>
      <c r="I7" s="83"/>
    </row>
    <row r="8" spans="2:9" ht="20.100000000000001" customHeight="1" x14ac:dyDescent="0.25">
      <c r="B8" s="117" t="s">
        <v>109</v>
      </c>
      <c r="C8" s="83"/>
      <c r="D8" s="83"/>
      <c r="E8" s="83"/>
      <c r="F8" s="118" t="s">
        <v>110</v>
      </c>
      <c r="G8" s="83"/>
      <c r="H8" s="83"/>
      <c r="I8" s="83"/>
    </row>
    <row r="9" spans="2:9" ht="78" customHeight="1" x14ac:dyDescent="0.25">
      <c r="B9" s="85" t="s">
        <v>111</v>
      </c>
      <c r="C9" s="83"/>
      <c r="D9" s="83"/>
      <c r="E9" s="83"/>
      <c r="F9" s="85" t="s">
        <v>112</v>
      </c>
      <c r="G9" s="83"/>
      <c r="H9" s="83"/>
      <c r="I9" s="83"/>
    </row>
    <row r="10" spans="2:9" ht="21.95" customHeight="1" x14ac:dyDescent="0.25">
      <c r="B10" s="89" t="s">
        <v>113</v>
      </c>
      <c r="C10" s="83"/>
      <c r="D10" s="83"/>
      <c r="E10" s="83"/>
      <c r="F10" s="83"/>
      <c r="G10" s="83"/>
      <c r="H10" s="83"/>
      <c r="I10" s="83"/>
    </row>
    <row r="11" spans="2:9" ht="6" customHeight="1" x14ac:dyDescent="0.25"/>
    <row r="12" spans="2:9" ht="26.1" customHeight="1" x14ac:dyDescent="0.25">
      <c r="B12" s="86" t="s">
        <v>114</v>
      </c>
      <c r="C12" s="83"/>
      <c r="D12" s="83"/>
      <c r="E12" s="83"/>
      <c r="F12" s="83"/>
      <c r="G12" s="83"/>
      <c r="H12" s="83"/>
      <c r="I12" s="83"/>
    </row>
    <row r="13" spans="2:9" ht="32.1" customHeight="1" x14ac:dyDescent="0.25">
      <c r="B13" s="104" t="s">
        <v>115</v>
      </c>
      <c r="C13" s="83"/>
      <c r="E13" s="113" t="s">
        <v>116</v>
      </c>
      <c r="F13" s="83"/>
      <c r="H13" s="110" t="s">
        <v>117</v>
      </c>
      <c r="I13" s="83"/>
    </row>
    <row r="14" spans="2:9" ht="39.950000000000003" customHeight="1" x14ac:dyDescent="0.25">
      <c r="B14" s="112">
        <f>IFERROR(IF($C$7="BALANCE GÉNÉRALE",IFERROR('1_Balance_GL'!$C$211/('0_Accueil'!$D$11*(1+'0_Accueil'!$D$12)/360),0),'2_Clients'!$M$2),0)</f>
        <v>0</v>
      </c>
      <c r="C14" s="83"/>
      <c r="E14" s="119">
        <f>IFERROR(IF($C$7="BALANCE GÉNÉRALE",IFERROR('1_Balance_GL'!$C$212/('1_Balance_GL'!$C$214*(1+'0_Accueil'!$D$12)/360),0),'3_Fournisseurs'!$M$2),0)</f>
        <v>0</v>
      </c>
      <c r="F14" s="83"/>
      <c r="H14" s="100">
        <f>IFERROR('4_Stocks'!$H$3,0)</f>
        <v>0</v>
      </c>
      <c r="I14" s="83"/>
    </row>
    <row r="15" spans="2:9" ht="18" customHeight="1" x14ac:dyDescent="0.25">
      <c r="B15" s="107" t="str">
        <f>"Secteur "&amp;'0_Accueil'!$D$9&amp;" : "&amp;ROUND(IFERROR(VLOOKUP('0_Accueil'!$D$9,$B$40:$F$44,2,FALSE),60),0)&amp;" j"</f>
        <v>Secteur  : 60 j</v>
      </c>
      <c r="C15" s="83"/>
      <c r="E15" s="107" t="str">
        <f>"Secteur "&amp;'0_Accueil'!$D$9&amp;" : "&amp;ROUND(IFERROR(VLOOKUP('0_Accueil'!$D$9,$B$40:$F$44,3,FALSE),45),0)&amp;" j"</f>
        <v>Secteur  : 45 j</v>
      </c>
      <c r="F15" s="83"/>
      <c r="H15" s="107" t="str">
        <f>"Secteur "&amp;'0_Accueil'!$D$9&amp;" : "&amp;ROUND(IFERROR(VLOOKUP('0_Accueil'!$D$9,$B$40:$F$44,4,FALSE),35),0)&amp;" j"</f>
        <v>Secteur  : 35 j</v>
      </c>
      <c r="I15" s="83"/>
    </row>
    <row r="16" spans="2:9" ht="48" customHeight="1" x14ac:dyDescent="0.25">
      <c r="B16" s="85" t="s">
        <v>118</v>
      </c>
      <c r="C16" s="83"/>
      <c r="E16" s="85" t="s">
        <v>119</v>
      </c>
      <c r="F16" s="83"/>
      <c r="H16" s="85" t="s">
        <v>120</v>
      </c>
      <c r="I16" s="83"/>
    </row>
    <row r="17" spans="2:9" ht="18" customHeight="1" x14ac:dyDescent="0.25">
      <c r="B17" s="114" t="str">
        <f>IF(IF($C$7="BALANCE GÉNÉRALE",IFERROR('1_Balance_GL'!$C$211/('0_Accueil'!$D$11*(1+'0_Accueil'!$D$12)/360),0),'2_Clients'!$M$2)&lt;=IFERROR(VLOOKUP('0_Accueil'!$D$9,$B$40:$F$44,2,FALSE),60),"✔ EXCELLENT",IF(IF($C$7="BALANCE GÉNÉRALE",IFERROR('1_Balance_GL'!$C$211/('0_Accueil'!$D$11*(1+'0_Accueil'!$D$12)/360),0),'2_Clients'!$M$2)&lt;=IFERROR(VLOOKUP('0_Accueil'!$D$9,$B$40:$F$44,2,FALSE),60)*1.15,"BON",IF(IF($C$7="BALANCE GÉNÉRALE",IFERROR('1_Balance_GL'!$C$211/('0_Accueil'!$D$11*(1+'0_Accueil'!$D$12)/360),0),'2_Clients'!$M$2)&lt;=IFERROR(VLOOKUP('0_Accueil'!$D$9,$B$40:$F$44,2,FALSE),60)*1.4,"À SURVEILLER","⚠ ALERTE")))</f>
        <v>✔ EXCELLENT</v>
      </c>
      <c r="C17" s="83"/>
      <c r="E17" s="120" t="s">
        <v>121</v>
      </c>
      <c r="F17" s="83"/>
      <c r="H17" s="103" t="str">
        <f>IF('4_Stocks'!$H$3&lt;=IFERROR(VLOOKUP('0_Accueil'!$D$9,$B$40:$F$44,4,FALSE),35),"✔ EXCELLENT",IF('4_Stocks'!$H$3&lt;=IFERROR(VLOOKUP('0_Accueil'!$D$9,$B$40:$F$44,4,FALSE),35)*1.15,"BON",IF('4_Stocks'!$H$3&lt;=IFERROR(VLOOKUP('0_Accueil'!$D$9,$B$40:$F$44,4,FALSE),35)*1.4,"À SURVEILLER","⚠ ALERTE")))</f>
        <v>✔ EXCELLENT</v>
      </c>
      <c r="I17" s="83"/>
    </row>
    <row r="18" spans="2:9" ht="6" customHeight="1" x14ac:dyDescent="0.25"/>
    <row r="19" spans="2:9" ht="26.1" customHeight="1" x14ac:dyDescent="0.25">
      <c r="B19" s="86" t="s">
        <v>122</v>
      </c>
      <c r="C19" s="83"/>
      <c r="D19" s="83"/>
      <c r="E19" s="83"/>
      <c r="F19" s="83"/>
      <c r="G19" s="83"/>
      <c r="H19" s="83"/>
      <c r="I19" s="83"/>
    </row>
    <row r="20" spans="2:9" ht="21.95" customHeight="1" x14ac:dyDescent="0.25">
      <c r="B20" s="86" t="s">
        <v>123</v>
      </c>
      <c r="C20" s="83"/>
      <c r="D20" s="83"/>
      <c r="E20" s="83"/>
      <c r="F20" s="109" t="s">
        <v>124</v>
      </c>
      <c r="G20" s="83"/>
      <c r="H20" s="83"/>
      <c r="I20" s="83"/>
    </row>
    <row r="21" spans="2:9" ht="39.950000000000003" customHeight="1" x14ac:dyDescent="0.25">
      <c r="B21" s="108">
        <f>IFERROR(IFERROR('1_Balance_GL'!$C$211/(1+'0_Accueil'!$D$12),0)+IFERROR('4_Stocks'!$H$5,0)-IFERROR('1_Balance_GL'!$C$212/(1+'0_Accueil'!$D$12),0),0)</f>
        <v>0</v>
      </c>
      <c r="C21" s="83"/>
      <c r="D21" s="83"/>
      <c r="E21" s="83"/>
      <c r="F21" s="122">
        <f>IFERROR(IF($C$7="BALANCE GÉNÉRALE",IFERROR('1_Balance_GL'!$C$211/('0_Accueil'!$D$11*(1+'0_Accueil'!$D$12)/360),0),'2_Clients'!$M$2)+'4_Stocks'!$H$3-IF($C$7="BALANCE GÉNÉRALE",IFERROR('1_Balance_GL'!$C$212/('1_Balance_GL'!$C$214*(1+'0_Accueil'!$D$12)/360),0),'3_Fournisseurs'!$M$2),0)</f>
        <v>0</v>
      </c>
      <c r="G21" s="83"/>
      <c r="H21" s="83"/>
      <c r="I21" s="83"/>
    </row>
    <row r="22" spans="2:9" ht="62.1" customHeight="1" x14ac:dyDescent="0.25">
      <c r="B22" s="85" t="s">
        <v>125</v>
      </c>
      <c r="C22" s="83"/>
      <c r="D22" s="83"/>
      <c r="E22" s="83"/>
      <c r="F22" s="85" t="s">
        <v>126</v>
      </c>
      <c r="G22" s="83"/>
      <c r="H22" s="83"/>
      <c r="I22" s="83"/>
    </row>
    <row r="23" spans="2:9" ht="21.95" customHeight="1" x14ac:dyDescent="0.25">
      <c r="B23" s="115" t="str">
        <f>IF(IFERROR(IF($C$7="BALANCE GÉNÉRALE",IFERROR('1_Balance_GL'!$C$211/('0_Accueil'!$D$11*(1+'0_Accueil'!$D$12)/360),0),'2_Clients'!$M$2)+'4_Stocks'!$H$3-IF($C$7="BALANCE GÉNÉRALE",IFERROR('1_Balance_GL'!$C$212/('1_Balance_GL'!$C$214*(1+'0_Accueil'!$D$12)/360),0),'3_Fournisseurs'!$M$2),0)&lt;=30,"✔ Cycle court : votre trésorerie respire bien.",IF(IFERROR(IF($C$7="BALANCE GÉNÉRALE",IFERROR('1_Balance_GL'!$C$211/('0_Accueil'!$D$11*(1+'0_Accueil'!$D$12)/360),0),'2_Clients'!$M$2)+'4_Stocks'!$H$3-IF($C$7="BALANCE GÉNÉRALE",IFERROR('1_Balance_GL'!$C$212/('1_Balance_GL'!$C$214*(1+'0_Accueil'!$D$12)/360),0),'3_Fournisseurs'!$M$2),0)&lt;=60,"Cycle correct : surveillez vos délais clients.",IF(IFERROR(IF($C$7="BALANCE GÉNÉRALE",IFERROR('1_Balance_GL'!$C$211/('0_Accueil'!$D$11*(1+'0_Accueil'!$D$12)/360),0),'2_Clients'!$M$2)+'4_Stocks'!$H$3-IF($C$7="BALANCE GÉNÉRALE",IFERROR('1_Balance_GL'!$C$212/('1_Balance_GL'!$C$214*(1+'0_Accueil'!$D$12)/360),0),'3_Fournisseurs'!$M$2),0)&lt;=90,"⚠ Cycle long : votre cash est immobilisé, agissez sur le DSO ou le DIO.","⚠ Cycle très long : priorité absolue à réduire créances et stocks.")))</f>
        <v>✔ Cycle court : votre trésorerie respire bien.</v>
      </c>
      <c r="C23" s="83"/>
      <c r="D23" s="83"/>
      <c r="E23" s="83"/>
      <c r="F23" s="83"/>
      <c r="G23" s="83"/>
      <c r="H23" s="83"/>
      <c r="I23" s="83"/>
    </row>
    <row r="24" spans="2:9" ht="6" customHeight="1" x14ac:dyDescent="0.25"/>
    <row r="25" spans="2:9" ht="26.1" customHeight="1" x14ac:dyDescent="0.25">
      <c r="B25" s="86" t="s">
        <v>127</v>
      </c>
      <c r="C25" s="83"/>
      <c r="D25" s="83"/>
      <c r="E25" s="83"/>
      <c r="F25" s="83"/>
      <c r="G25" s="83"/>
      <c r="H25" s="83"/>
      <c r="I25" s="83"/>
    </row>
    <row r="26" spans="2:9" ht="20.100000000000001" customHeight="1" x14ac:dyDescent="0.25">
      <c r="B26" s="106" t="s">
        <v>128</v>
      </c>
      <c r="C26" s="83"/>
      <c r="D26" s="83"/>
      <c r="E26" s="83"/>
      <c r="F26" s="83"/>
      <c r="G26" s="83"/>
      <c r="H26" s="83"/>
      <c r="I26" s="83"/>
    </row>
    <row r="27" spans="2:9" ht="21.95" customHeight="1" x14ac:dyDescent="0.25">
      <c r="B27" s="33" t="s">
        <v>129</v>
      </c>
      <c r="C27" s="33" t="s">
        <v>130</v>
      </c>
      <c r="D27" s="53"/>
      <c r="E27" s="33" t="s">
        <v>131</v>
      </c>
      <c r="F27" s="33" t="s">
        <v>132</v>
      </c>
      <c r="G27" s="53"/>
      <c r="H27" s="33" t="s">
        <v>133</v>
      </c>
      <c r="I27" s="53"/>
    </row>
    <row r="28" spans="2:9" ht="18" customHeight="1" x14ac:dyDescent="0.25">
      <c r="B28" s="54" t="s">
        <v>134</v>
      </c>
      <c r="C28" s="55">
        <v>45</v>
      </c>
      <c r="D28" s="24"/>
      <c r="E28" s="55">
        <v>30</v>
      </c>
      <c r="F28" s="55">
        <v>30</v>
      </c>
      <c r="G28" s="24"/>
      <c r="H28" s="55" t="s">
        <v>135</v>
      </c>
      <c r="I28" s="24"/>
    </row>
    <row r="29" spans="2:9" ht="18" customHeight="1" x14ac:dyDescent="0.25">
      <c r="B29" s="56" t="s">
        <v>136</v>
      </c>
      <c r="C29" s="57">
        <v>60</v>
      </c>
      <c r="D29" s="58"/>
      <c r="E29" s="57">
        <v>45</v>
      </c>
      <c r="F29" s="57">
        <v>45</v>
      </c>
      <c r="G29" s="58"/>
      <c r="H29" s="57" t="s">
        <v>137</v>
      </c>
      <c r="I29" s="58"/>
    </row>
    <row r="30" spans="2:9" ht="18" customHeight="1" x14ac:dyDescent="0.25">
      <c r="B30" s="54" t="s">
        <v>138</v>
      </c>
      <c r="C30" s="55">
        <v>90</v>
      </c>
      <c r="D30" s="24"/>
      <c r="E30" s="55">
        <v>60</v>
      </c>
      <c r="F30" s="55">
        <v>20</v>
      </c>
      <c r="G30" s="24"/>
      <c r="H30" s="55" t="s">
        <v>139</v>
      </c>
      <c r="I30" s="24"/>
    </row>
    <row r="31" spans="2:9" ht="18" customHeight="1" x14ac:dyDescent="0.25">
      <c r="B31" s="56" t="s">
        <v>140</v>
      </c>
      <c r="C31" s="57">
        <v>30</v>
      </c>
      <c r="D31" s="58"/>
      <c r="E31" s="57">
        <v>15</v>
      </c>
      <c r="F31" s="57">
        <v>5</v>
      </c>
      <c r="G31" s="58"/>
      <c r="H31" s="57" t="s">
        <v>141</v>
      </c>
      <c r="I31" s="58"/>
    </row>
    <row r="32" spans="2:9" ht="18" customHeight="1" x14ac:dyDescent="0.25">
      <c r="B32" s="54" t="s">
        <v>142</v>
      </c>
      <c r="C32" s="55">
        <v>35</v>
      </c>
      <c r="D32" s="24"/>
      <c r="E32" s="55">
        <v>25</v>
      </c>
      <c r="F32" s="55">
        <v>20</v>
      </c>
      <c r="G32" s="24"/>
      <c r="H32" s="55" t="s">
        <v>143</v>
      </c>
      <c r="I32" s="24"/>
    </row>
    <row r="33" spans="2:9" ht="6" customHeight="1" x14ac:dyDescent="0.25"/>
    <row r="34" spans="2:9" ht="26.1" customHeight="1" x14ac:dyDescent="0.25">
      <c r="B34" s="86" t="s">
        <v>144</v>
      </c>
      <c r="C34" s="83"/>
      <c r="D34" s="83"/>
      <c r="E34" s="83"/>
      <c r="F34" s="83"/>
      <c r="G34" s="83"/>
      <c r="H34" s="83"/>
      <c r="I34" s="83"/>
    </row>
    <row r="35" spans="2:9" ht="24" customHeight="1" x14ac:dyDescent="0.25">
      <c r="B35" s="59" t="s">
        <v>145</v>
      </c>
      <c r="C35" s="105">
        <f>IFERROR(ABS('2_Clients'!$M$1-'2_Clients'!$M$2),0)</f>
        <v>0</v>
      </c>
      <c r="D35" s="106" t="s">
        <v>146</v>
      </c>
      <c r="E35" s="83"/>
      <c r="F35" s="83"/>
      <c r="G35" s="83"/>
      <c r="H35" s="83"/>
      <c r="I35" s="83"/>
    </row>
    <row r="36" spans="2:9" ht="21.95" customHeight="1" x14ac:dyDescent="0.25">
      <c r="B36" s="99" t="s">
        <v>147</v>
      </c>
      <c r="C36" s="83"/>
      <c r="D36" s="83"/>
      <c r="E36" s="83"/>
      <c r="F36" s="83"/>
      <c r="G36" s="83"/>
      <c r="H36" s="83"/>
      <c r="I36" s="83"/>
    </row>
    <row r="39" spans="2:9" hidden="1" x14ac:dyDescent="0.25">
      <c r="B39" s="25" t="s">
        <v>148</v>
      </c>
    </row>
    <row r="40" spans="2:9" hidden="1" x14ac:dyDescent="0.25">
      <c r="B40" s="25" t="s">
        <v>134</v>
      </c>
      <c r="C40" s="25">
        <v>45</v>
      </c>
      <c r="D40" s="25">
        <v>30</v>
      </c>
      <c r="E40" s="25">
        <v>30</v>
      </c>
      <c r="F40" s="25" t="s">
        <v>135</v>
      </c>
    </row>
    <row r="41" spans="2:9" hidden="1" x14ac:dyDescent="0.25">
      <c r="B41" s="25" t="s">
        <v>136</v>
      </c>
      <c r="C41" s="25">
        <v>60</v>
      </c>
      <c r="D41" s="25">
        <v>45</v>
      </c>
      <c r="E41" s="25">
        <v>45</v>
      </c>
      <c r="F41" s="25" t="s">
        <v>137</v>
      </c>
    </row>
    <row r="42" spans="2:9" hidden="1" x14ac:dyDescent="0.25">
      <c r="B42" s="25" t="s">
        <v>138</v>
      </c>
      <c r="C42" s="25">
        <v>90</v>
      </c>
      <c r="D42" s="25">
        <v>60</v>
      </c>
      <c r="E42" s="25">
        <v>20</v>
      </c>
      <c r="F42" s="25" t="s">
        <v>139</v>
      </c>
    </row>
    <row r="43" spans="2:9" hidden="1" x14ac:dyDescent="0.25">
      <c r="B43" s="25" t="s">
        <v>140</v>
      </c>
      <c r="C43" s="25">
        <v>30</v>
      </c>
      <c r="D43" s="25">
        <v>15</v>
      </c>
      <c r="E43" s="25">
        <v>5</v>
      </c>
      <c r="F43" s="25" t="s">
        <v>141</v>
      </c>
    </row>
    <row r="44" spans="2:9" hidden="1" x14ac:dyDescent="0.25">
      <c r="B44" s="25" t="s">
        <v>142</v>
      </c>
      <c r="C44" s="25">
        <v>35</v>
      </c>
      <c r="D44" s="25">
        <v>25</v>
      </c>
      <c r="E44" s="25">
        <v>20</v>
      </c>
      <c r="F44" s="25" t="s">
        <v>143</v>
      </c>
    </row>
  </sheetData>
  <mergeCells count="42">
    <mergeCell ref="B16:C16"/>
    <mergeCell ref="F9:I9"/>
    <mergeCell ref="B25:I25"/>
    <mergeCell ref="B3:I3"/>
    <mergeCell ref="E14:F14"/>
    <mergeCell ref="B20:E20"/>
    <mergeCell ref="E17:F17"/>
    <mergeCell ref="D7:I7"/>
    <mergeCell ref="B12:I12"/>
    <mergeCell ref="F21:I21"/>
    <mergeCell ref="D35:I35"/>
    <mergeCell ref="F20:I20"/>
    <mergeCell ref="H13:I13"/>
    <mergeCell ref="B2:F2"/>
    <mergeCell ref="B14:C14"/>
    <mergeCell ref="E13:F13"/>
    <mergeCell ref="B17:C17"/>
    <mergeCell ref="B23:I23"/>
    <mergeCell ref="G2:I2"/>
    <mergeCell ref="B8:E8"/>
    <mergeCell ref="B15:C15"/>
    <mergeCell ref="E16:F16"/>
    <mergeCell ref="B6:I6"/>
    <mergeCell ref="F8:I8"/>
    <mergeCell ref="H15:I15"/>
    <mergeCell ref="B9:E9"/>
    <mergeCell ref="B36:I36"/>
    <mergeCell ref="H14:I14"/>
    <mergeCell ref="B4:I4"/>
    <mergeCell ref="F22:I22"/>
    <mergeCell ref="B1:I1"/>
    <mergeCell ref="B22:E22"/>
    <mergeCell ref="H17:I17"/>
    <mergeCell ref="B13:C13"/>
    <mergeCell ref="C35"/>
    <mergeCell ref="B26:I26"/>
    <mergeCell ref="E15:F15"/>
    <mergeCell ref="H16:I16"/>
    <mergeCell ref="B34:I34"/>
    <mergeCell ref="B21:E21"/>
    <mergeCell ref="B10:I10"/>
    <mergeCell ref="B19:I19"/>
  </mergeCells>
  <dataValidations count="1">
    <dataValidation type="list" sqref="C7" xr:uid="{00000000-0002-0000-0500-000000000000}">
      <formula1>"ÉCHÉANCIER,BALANCE GÉNÉRALE"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27"/>
  <sheetViews>
    <sheetView showGridLines="0" workbookViewId="0"/>
  </sheetViews>
  <sheetFormatPr baseColWidth="10" defaultColWidth="9.140625" defaultRowHeight="15" x14ac:dyDescent="0.25"/>
  <cols>
    <col min="1" max="1" width="2" customWidth="1"/>
    <col min="2" max="2" width="30" customWidth="1"/>
    <col min="3" max="3" width="64" customWidth="1"/>
    <col min="4" max="4" width="2" customWidth="1"/>
  </cols>
  <sheetData>
    <row r="1" spans="2:3" ht="36" customHeight="1" x14ac:dyDescent="0.25">
      <c r="B1" s="123" t="s">
        <v>149</v>
      </c>
      <c r="C1" s="83"/>
    </row>
    <row r="3" spans="2:3" ht="26.1" customHeight="1" x14ac:dyDescent="0.25">
      <c r="B3" s="86" t="s">
        <v>150</v>
      </c>
      <c r="C3" s="83"/>
    </row>
    <row r="4" spans="2:3" ht="33.950000000000003" customHeight="1" x14ac:dyDescent="0.25">
      <c r="B4" s="60" t="s">
        <v>151</v>
      </c>
      <c r="C4" s="10" t="s">
        <v>152</v>
      </c>
    </row>
    <row r="5" spans="2:3" ht="33.950000000000003" customHeight="1" x14ac:dyDescent="0.25">
      <c r="B5" s="60" t="s">
        <v>153</v>
      </c>
      <c r="C5" s="10" t="s">
        <v>154</v>
      </c>
    </row>
    <row r="7" spans="2:3" ht="26.1" customHeight="1" x14ac:dyDescent="0.25">
      <c r="B7" s="86" t="s">
        <v>155</v>
      </c>
      <c r="C7" s="83"/>
    </row>
    <row r="8" spans="2:3" ht="33.950000000000003" customHeight="1" x14ac:dyDescent="0.25">
      <c r="B8" s="60" t="s">
        <v>156</v>
      </c>
      <c r="C8" s="10" t="s">
        <v>157</v>
      </c>
    </row>
    <row r="9" spans="2:3" ht="33.950000000000003" customHeight="1" x14ac:dyDescent="0.25">
      <c r="B9" s="60" t="s">
        <v>158</v>
      </c>
      <c r="C9" s="10" t="s">
        <v>159</v>
      </c>
    </row>
    <row r="10" spans="2:3" ht="33.950000000000003" customHeight="1" x14ac:dyDescent="0.25">
      <c r="B10" s="60" t="s">
        <v>160</v>
      </c>
      <c r="C10" s="10" t="s">
        <v>161</v>
      </c>
    </row>
    <row r="12" spans="2:3" ht="26.1" customHeight="1" x14ac:dyDescent="0.25">
      <c r="B12" s="86" t="s">
        <v>162</v>
      </c>
      <c r="C12" s="83"/>
    </row>
    <row r="13" spans="2:3" ht="33.950000000000003" customHeight="1" x14ac:dyDescent="0.25">
      <c r="B13" s="60" t="s">
        <v>163</v>
      </c>
      <c r="C13" s="10" t="s">
        <v>164</v>
      </c>
    </row>
    <row r="14" spans="2:3" ht="33.950000000000003" customHeight="1" x14ac:dyDescent="0.25">
      <c r="B14" s="60" t="s">
        <v>165</v>
      </c>
      <c r="C14" s="10" t="s">
        <v>166</v>
      </c>
    </row>
    <row r="15" spans="2:3" ht="33.950000000000003" customHeight="1" x14ac:dyDescent="0.25">
      <c r="B15" s="60" t="s">
        <v>167</v>
      </c>
      <c r="C15" s="10" t="s">
        <v>168</v>
      </c>
    </row>
    <row r="16" spans="2:3" ht="33.950000000000003" customHeight="1" x14ac:dyDescent="0.25">
      <c r="B16" s="60" t="s">
        <v>169</v>
      </c>
      <c r="C16" s="10" t="s">
        <v>170</v>
      </c>
    </row>
    <row r="17" spans="2:3" ht="33.950000000000003" customHeight="1" x14ac:dyDescent="0.25">
      <c r="B17" s="60" t="s">
        <v>171</v>
      </c>
      <c r="C17" s="10" t="s">
        <v>172</v>
      </c>
    </row>
    <row r="18" spans="2:3" ht="33.950000000000003" customHeight="1" x14ac:dyDescent="0.25">
      <c r="B18" s="60" t="s">
        <v>173</v>
      </c>
      <c r="C18" s="10" t="s">
        <v>174</v>
      </c>
    </row>
    <row r="19" spans="2:3" ht="33.950000000000003" customHeight="1" x14ac:dyDescent="0.25">
      <c r="B19" s="60" t="s">
        <v>175</v>
      </c>
      <c r="C19" s="10" t="s">
        <v>176</v>
      </c>
    </row>
    <row r="20" spans="2:3" ht="33.950000000000003" customHeight="1" x14ac:dyDescent="0.25">
      <c r="B20" s="60" t="s">
        <v>177</v>
      </c>
      <c r="C20" s="10" t="s">
        <v>178</v>
      </c>
    </row>
    <row r="21" spans="2:3" ht="33.950000000000003" customHeight="1" x14ac:dyDescent="0.25">
      <c r="B21" s="60" t="s">
        <v>179</v>
      </c>
      <c r="C21" s="10" t="s">
        <v>180</v>
      </c>
    </row>
    <row r="22" spans="2:3" ht="33.950000000000003" customHeight="1" x14ac:dyDescent="0.25">
      <c r="B22" s="60" t="s">
        <v>181</v>
      </c>
      <c r="C22" s="10" t="s">
        <v>182</v>
      </c>
    </row>
    <row r="24" spans="2:3" ht="26.1" customHeight="1" x14ac:dyDescent="0.25">
      <c r="B24" s="86" t="s">
        <v>183</v>
      </c>
      <c r="C24" s="83"/>
    </row>
    <row r="25" spans="2:3" ht="33.950000000000003" customHeight="1" x14ac:dyDescent="0.25">
      <c r="B25" s="60" t="s">
        <v>184</v>
      </c>
      <c r="C25" s="10" t="s">
        <v>185</v>
      </c>
    </row>
    <row r="26" spans="2:3" ht="33.950000000000003" customHeight="1" x14ac:dyDescent="0.25">
      <c r="B26" s="60" t="s">
        <v>186</v>
      </c>
      <c r="C26" s="10" t="s">
        <v>187</v>
      </c>
    </row>
    <row r="27" spans="2:3" ht="33.950000000000003" customHeight="1" x14ac:dyDescent="0.25">
      <c r="B27" s="60" t="s">
        <v>188</v>
      </c>
      <c r="C27" s="10" t="s">
        <v>189</v>
      </c>
    </row>
  </sheetData>
  <mergeCells count="5">
    <mergeCell ref="B24:C24"/>
    <mergeCell ref="B7:C7"/>
    <mergeCell ref="B3:C3"/>
    <mergeCell ref="B1:C1"/>
    <mergeCell ref="B12:C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3"/>
  <sheetViews>
    <sheetView showGridLines="0" workbookViewId="0"/>
  </sheetViews>
  <sheetFormatPr baseColWidth="10" defaultColWidth="9.140625" defaultRowHeight="15" x14ac:dyDescent="0.25"/>
  <cols>
    <col min="1" max="1" width="16" customWidth="1"/>
    <col min="2" max="3" width="11" customWidth="1"/>
    <col min="4" max="4" width="16" customWidth="1"/>
    <col min="5" max="6" width="11" customWidth="1"/>
    <col min="7" max="7" width="16" customWidth="1"/>
    <col min="8" max="9" width="11" customWidth="1"/>
    <col min="10" max="10" width="16" customWidth="1"/>
    <col min="11" max="12" width="11" customWidth="1"/>
    <col min="13" max="13" width="16" customWidth="1"/>
    <col min="14" max="15" width="11" customWidth="1"/>
  </cols>
  <sheetData>
    <row r="1" spans="1:15" ht="27.95" customHeight="1" x14ac:dyDescent="0.25">
      <c r="A1" s="124" t="s">
        <v>190</v>
      </c>
      <c r="B1" s="124"/>
      <c r="C1" s="124"/>
      <c r="D1" s="124"/>
      <c r="E1" s="124"/>
      <c r="F1" s="124"/>
      <c r="G1" s="124"/>
      <c r="H1" s="124"/>
      <c r="I1" s="124"/>
      <c r="J1" s="124"/>
      <c r="K1" s="124"/>
      <c r="L1" s="124"/>
      <c r="M1" s="124"/>
      <c r="N1" s="124"/>
      <c r="O1" s="124"/>
    </row>
    <row r="2" spans="1:15" ht="27.95" customHeight="1" x14ac:dyDescent="0.25">
      <c r="A2" s="125"/>
      <c r="B2" s="125"/>
      <c r="C2" s="125"/>
      <c r="D2" s="125"/>
      <c r="E2" s="125"/>
      <c r="F2" s="125"/>
      <c r="G2" s="125"/>
      <c r="H2" s="125"/>
      <c r="I2" s="125"/>
      <c r="J2" s="125"/>
      <c r="K2" s="125"/>
      <c r="L2" s="125"/>
      <c r="M2" s="125"/>
      <c r="N2" s="125"/>
      <c r="O2" s="125"/>
    </row>
    <row r="3" spans="1:15" ht="21.95" customHeight="1" x14ac:dyDescent="0.25">
      <c r="A3" s="126" t="str">
        <f>"Société : "&amp;IF('0_Accueil'!$D$8="","Non renseignée",'0_Accueil'!$D$8)</f>
        <v>Société : dss</v>
      </c>
      <c r="B3" s="126"/>
      <c r="C3" s="126"/>
      <c r="D3" s="126"/>
      <c r="E3" s="126"/>
      <c r="F3" s="126"/>
      <c r="G3" s="126" t="e">
        <f>"Date d'arrêté : "&amp;TEXT('0_Accueil'!$D$10,"dd/mm/yyyy")</f>
        <v>#VALUE!</v>
      </c>
      <c r="H3" s="126"/>
      <c r="I3" s="126"/>
      <c r="J3" s="126"/>
      <c r="K3" s="126" t="str">
        <f>"Secteur : "&amp;IF('0_Accueil'!$D$9="","Non renseigné",'0_Accueil'!$D$9)</f>
        <v>Secteur : Non renseigné</v>
      </c>
      <c r="L3" s="126"/>
      <c r="M3" s="126"/>
      <c r="N3" s="126"/>
      <c r="O3" s="126"/>
    </row>
    <row r="4" spans="1:15" ht="24" customHeight="1" x14ac:dyDescent="0.25">
      <c r="A4" s="127" t="s">
        <v>191</v>
      </c>
      <c r="B4" s="127"/>
      <c r="C4" s="127"/>
      <c r="D4" s="127"/>
      <c r="E4" s="127"/>
      <c r="F4" s="127"/>
      <c r="G4" s="127"/>
      <c r="H4" s="127"/>
      <c r="I4" s="127"/>
      <c r="J4" s="127"/>
      <c r="K4" s="127"/>
      <c r="L4" s="127"/>
      <c r="M4" s="127"/>
      <c r="N4" s="127"/>
      <c r="O4" s="127"/>
    </row>
    <row r="5" spans="1:15" ht="24" customHeight="1" x14ac:dyDescent="0.25">
      <c r="A5" s="128" t="s">
        <v>192</v>
      </c>
      <c r="B5" s="128"/>
      <c r="C5" s="128"/>
      <c r="D5" s="128"/>
      <c r="E5" s="128"/>
      <c r="F5" s="128"/>
      <c r="G5" s="128"/>
      <c r="H5" s="128"/>
      <c r="I5" s="128"/>
      <c r="J5" s="128"/>
      <c r="K5" s="128"/>
      <c r="L5" s="128"/>
      <c r="M5" s="128"/>
      <c r="N5" s="128"/>
      <c r="O5" s="128"/>
    </row>
    <row r="6" spans="1:15" ht="21.95" customHeight="1" x14ac:dyDescent="0.25">
      <c r="A6" s="129" t="s">
        <v>193</v>
      </c>
      <c r="B6" s="130"/>
      <c r="C6" s="131"/>
      <c r="D6" s="138" t="s">
        <v>194</v>
      </c>
      <c r="E6" s="139"/>
      <c r="F6" s="140"/>
      <c r="G6" s="147" t="s">
        <v>195</v>
      </c>
      <c r="H6" s="148"/>
      <c r="I6" s="149"/>
      <c r="J6" s="156" t="s">
        <v>196</v>
      </c>
      <c r="K6" s="157"/>
      <c r="L6" s="158"/>
      <c r="M6" s="129" t="s">
        <v>197</v>
      </c>
      <c r="N6" s="130"/>
      <c r="O6" s="131"/>
    </row>
    <row r="7" spans="1:15" ht="24.95" customHeight="1" x14ac:dyDescent="0.25">
      <c r="A7" s="132">
        <f>IFERROR(SUMIFS('2_Clients'!$I$12:$I$111,'2_Clients'!$D$12:$D$111,"&gt;0",'2_Clients'!$D$12:$D$111,"&lt;="&amp;'0_Accueil'!$D$10+30,'2_Clients'!$I$12:$I$111,"&gt;0")-SUMIFS('3_Fournisseurs'!$J$12:$J$71,'3_Fournisseurs'!$E$12:$E$71,"&gt;0",'3_Fournisseurs'!$E$12:$E$71,"&lt;="&amp;'0_Accueil'!$D$10+30,'3_Fournisseurs'!$J$12:$J$71,"&gt;0"),0)</f>
        <v>0</v>
      </c>
      <c r="B7" s="133"/>
      <c r="C7" s="134"/>
      <c r="D7" s="141">
        <f>ABS(MIN(0,$G$21:$G$33))</f>
        <v>0</v>
      </c>
      <c r="E7" s="142"/>
      <c r="F7" s="143"/>
      <c r="G7" s="150">
        <f>IFERROR(SUMIFS('2_Clients'!$I$12:$I$111,'2_Clients'!$D$12:$D$111,"&gt;0",'2_Clients'!$D$12:$D$111,"&lt;="&amp;'0_Accueil'!$D$10+30,'2_Clients'!$I$12:$I$111,"&gt;0")/SUMIFS('3_Fournisseurs'!$J$12:$J$71,'3_Fournisseurs'!$E$12:$E$71,"&gt;0",'3_Fournisseurs'!$E$12:$E$71,"&lt;="&amp;'0_Accueil'!$D$10+30,'3_Fournisseurs'!$J$12:$J$71,"&gt;0"),0)</f>
        <v>0</v>
      </c>
      <c r="H7" s="151"/>
      <c r="I7" s="152"/>
      <c r="J7" s="159">
        <f>'5_Dashboard'!$B$21</f>
        <v>0</v>
      </c>
      <c r="K7" s="160"/>
      <c r="L7" s="161"/>
      <c r="M7" s="165">
        <f>'5_Dashboard'!$F$21</f>
        <v>0</v>
      </c>
      <c r="N7" s="166"/>
      <c r="O7" s="167"/>
    </row>
    <row r="8" spans="1:15" ht="24.95" customHeight="1" x14ac:dyDescent="0.25">
      <c r="A8" s="132"/>
      <c r="B8" s="133"/>
      <c r="C8" s="134"/>
      <c r="D8" s="141"/>
      <c r="E8" s="142"/>
      <c r="F8" s="143"/>
      <c r="G8" s="150"/>
      <c r="H8" s="151"/>
      <c r="I8" s="152"/>
      <c r="J8" s="159"/>
      <c r="K8" s="160"/>
      <c r="L8" s="161"/>
      <c r="M8" s="165"/>
      <c r="N8" s="166"/>
      <c r="O8" s="167"/>
    </row>
    <row r="9" spans="1:15" ht="29.1" customHeight="1" x14ac:dyDescent="0.25">
      <c r="A9" s="135" t="s">
        <v>198</v>
      </c>
      <c r="B9" s="136"/>
      <c r="C9" s="137"/>
      <c r="D9" s="144" t="s">
        <v>199</v>
      </c>
      <c r="E9" s="145"/>
      <c r="F9" s="146"/>
      <c r="G9" s="153" t="s">
        <v>200</v>
      </c>
      <c r="H9" s="154"/>
      <c r="I9" s="155"/>
      <c r="J9" s="162" t="s">
        <v>201</v>
      </c>
      <c r="K9" s="163"/>
      <c r="L9" s="164"/>
      <c r="M9" s="135" t="s">
        <v>202</v>
      </c>
      <c r="N9" s="136"/>
      <c r="O9" s="137"/>
    </row>
    <row r="10" spans="1:15" x14ac:dyDescent="0.25">
      <c r="A10" s="61"/>
      <c r="B10" s="61"/>
      <c r="C10" s="61"/>
      <c r="D10" s="61"/>
      <c r="E10" s="61"/>
      <c r="F10" s="61"/>
      <c r="G10" s="61"/>
      <c r="H10" s="61"/>
      <c r="I10" s="61"/>
      <c r="J10" s="61"/>
      <c r="K10" s="61"/>
      <c r="L10" s="61"/>
      <c r="M10" s="61"/>
      <c r="N10" s="61"/>
      <c r="O10" s="61"/>
    </row>
    <row r="11" spans="1:15" ht="21.95" customHeight="1" x14ac:dyDescent="0.25">
      <c r="A11" s="129" t="s">
        <v>203</v>
      </c>
      <c r="B11" s="130"/>
      <c r="C11" s="131"/>
      <c r="D11" s="138" t="s">
        <v>204</v>
      </c>
      <c r="E11" s="139"/>
      <c r="F11" s="140"/>
      <c r="G11" s="147" t="s">
        <v>205</v>
      </c>
      <c r="H11" s="148"/>
      <c r="I11" s="149"/>
      <c r="J11" s="156" t="s">
        <v>206</v>
      </c>
      <c r="K11" s="157"/>
      <c r="L11" s="158"/>
      <c r="M11" s="129" t="s">
        <v>207</v>
      </c>
      <c r="N11" s="130"/>
      <c r="O11" s="131"/>
    </row>
    <row r="12" spans="1:15" ht="24.95" customHeight="1" x14ac:dyDescent="0.25">
      <c r="A12" s="132">
        <f>$F$58</f>
        <v>0</v>
      </c>
      <c r="B12" s="133"/>
      <c r="C12" s="134"/>
      <c r="D12" s="141">
        <f>IFERROR(SUMIFS('2_Clients'!$I$12:$I$111,'2_Clients'!$K$12:$K$111,"&gt;0",'2_Clients'!$I$12:$I$111,"&gt;0"),0)</f>
        <v>0</v>
      </c>
      <c r="E12" s="142"/>
      <c r="F12" s="143"/>
      <c r="G12" s="177">
        <f>'2_Clients'!$M$3</f>
        <v>0</v>
      </c>
      <c r="H12" s="178"/>
      <c r="I12" s="179"/>
      <c r="J12" s="159">
        <f>'2_Clients'!$M$7-'3_Fournisseurs'!$M$5</f>
        <v>0</v>
      </c>
      <c r="K12" s="160"/>
      <c r="L12" s="161"/>
      <c r="M12" s="168">
        <f ca="1">IFERROR(SUM(LARGE(SUMIF('2_Clients'!$A$12:$A$111,_xlfn.UNIQUE(_xlfn._xlws.FILTER('2_Clients'!$A$12:$A$111,'2_Clients'!$A$12:$A$111&lt;&gt;"")),'2_Clients'!$I$12:$I$111),_xludf.SEQUENCE(MIN(5,COUNTA(_xlfn.UNIQUE(_xlfn._xlws.FILTER('2_Clients'!$A$12:$A$111,'2_Clients'!$A$12:$A$111&lt;&gt;"")))))))/'2_Clients'!$M$7,0)</f>
        <v>0</v>
      </c>
      <c r="N12" s="169"/>
      <c r="O12" s="170"/>
    </row>
    <row r="13" spans="1:15" ht="24.95" customHeight="1" x14ac:dyDescent="0.25">
      <c r="A13" s="132"/>
      <c r="B13" s="133"/>
      <c r="C13" s="134"/>
      <c r="D13" s="141"/>
      <c r="E13" s="142"/>
      <c r="F13" s="143"/>
      <c r="G13" s="177"/>
      <c r="H13" s="178"/>
      <c r="I13" s="179"/>
      <c r="J13" s="159"/>
      <c r="K13" s="160"/>
      <c r="L13" s="161"/>
      <c r="M13" s="168"/>
      <c r="N13" s="169"/>
      <c r="O13" s="170"/>
    </row>
    <row r="14" spans="1:15" ht="29.1" customHeight="1" x14ac:dyDescent="0.25">
      <c r="A14" s="135" t="s">
        <v>208</v>
      </c>
      <c r="B14" s="136"/>
      <c r="C14" s="137"/>
      <c r="D14" s="144" t="s">
        <v>209</v>
      </c>
      <c r="E14" s="145"/>
      <c r="F14" s="146"/>
      <c r="G14" s="153" t="s">
        <v>210</v>
      </c>
      <c r="H14" s="154"/>
      <c r="I14" s="155"/>
      <c r="J14" s="162" t="s">
        <v>211</v>
      </c>
      <c r="K14" s="163"/>
      <c r="L14" s="164"/>
      <c r="M14" s="135" t="s">
        <v>212</v>
      </c>
      <c r="N14" s="136"/>
      <c r="O14" s="137"/>
    </row>
    <row r="15" spans="1:15" x14ac:dyDescent="0.25">
      <c r="A15" s="61"/>
      <c r="B15" s="61"/>
      <c r="C15" s="61"/>
      <c r="D15" s="61"/>
      <c r="E15" s="61"/>
      <c r="F15" s="61"/>
      <c r="G15" s="61"/>
      <c r="H15" s="61"/>
      <c r="I15" s="61"/>
      <c r="J15" s="61"/>
      <c r="K15" s="61"/>
      <c r="L15" s="61"/>
      <c r="M15" s="61"/>
      <c r="N15" s="61"/>
      <c r="O15" s="61"/>
    </row>
    <row r="16" spans="1:15" x14ac:dyDescent="0.25">
      <c r="A16" s="171" t="s">
        <v>56</v>
      </c>
      <c r="B16" s="172"/>
      <c r="C16" s="173"/>
      <c r="D16" s="171" t="s">
        <v>81</v>
      </c>
      <c r="E16" s="172"/>
      <c r="F16" s="173"/>
      <c r="G16" s="171" t="s">
        <v>102</v>
      </c>
      <c r="H16" s="172"/>
      <c r="I16" s="173"/>
      <c r="J16" s="171" t="s">
        <v>213</v>
      </c>
      <c r="K16" s="172"/>
      <c r="L16" s="173"/>
      <c r="M16" s="171" t="s">
        <v>214</v>
      </c>
      <c r="N16" s="172"/>
      <c r="O16" s="173"/>
    </row>
    <row r="17" spans="1:15" ht="18.75" x14ac:dyDescent="0.25">
      <c r="A17" s="174">
        <f>'2_Clients'!$M$2</f>
        <v>0</v>
      </c>
      <c r="B17" s="175"/>
      <c r="C17" s="176"/>
      <c r="D17" s="174">
        <f>'3_Fournisseurs'!$M$2</f>
        <v>0</v>
      </c>
      <c r="E17" s="175"/>
      <c r="F17" s="176"/>
      <c r="G17" s="174">
        <f>'4_Stocks'!$H$3</f>
        <v>0</v>
      </c>
      <c r="H17" s="175"/>
      <c r="I17" s="176"/>
      <c r="J17" s="174">
        <f>IFERROR('5_Dashboard'!$B$21/'0_Accueil'!$D$11*360,0)</f>
        <v>0</v>
      </c>
      <c r="K17" s="175"/>
      <c r="L17" s="176"/>
      <c r="M17" s="174">
        <f>'3_Fournisseurs'!$M$4</f>
        <v>0</v>
      </c>
      <c r="N17" s="175"/>
      <c r="O17" s="176"/>
    </row>
    <row r="18" spans="1:15" x14ac:dyDescent="0.25">
      <c r="A18" s="61"/>
      <c r="B18" s="61"/>
      <c r="C18" s="61"/>
      <c r="D18" s="61"/>
      <c r="E18" s="61"/>
      <c r="F18" s="61"/>
      <c r="G18" s="61"/>
      <c r="H18" s="61"/>
      <c r="I18" s="61"/>
      <c r="J18" s="61"/>
      <c r="K18" s="61"/>
      <c r="L18" s="61"/>
      <c r="M18" s="61"/>
      <c r="N18" s="61"/>
      <c r="O18" s="61"/>
    </row>
    <row r="19" spans="1:15" ht="24" customHeight="1" x14ac:dyDescent="0.25">
      <c r="A19" s="180" t="s">
        <v>215</v>
      </c>
      <c r="B19" s="180"/>
      <c r="C19" s="180"/>
      <c r="D19" s="180"/>
      <c r="E19" s="180"/>
      <c r="F19" s="180"/>
      <c r="G19" s="180"/>
      <c r="H19" s="180"/>
      <c r="I19" s="180"/>
      <c r="J19" s="180"/>
      <c r="K19" s="180"/>
      <c r="L19" s="180"/>
      <c r="M19" s="180"/>
      <c r="N19" s="180"/>
      <c r="O19" s="180"/>
    </row>
    <row r="20" spans="1:15" ht="21.95" customHeight="1" x14ac:dyDescent="0.25">
      <c r="A20" s="63" t="s">
        <v>216</v>
      </c>
      <c r="B20" s="63" t="s">
        <v>217</v>
      </c>
      <c r="C20" s="63" t="s">
        <v>218</v>
      </c>
      <c r="D20" s="63" t="s">
        <v>219</v>
      </c>
      <c r="E20" s="63" t="s">
        <v>220</v>
      </c>
      <c r="F20" s="63" t="s">
        <v>221</v>
      </c>
      <c r="G20" s="63" t="s">
        <v>222</v>
      </c>
      <c r="H20" s="61"/>
      <c r="I20" s="61"/>
      <c r="J20" s="61"/>
      <c r="K20" s="61"/>
      <c r="L20" s="61"/>
      <c r="M20" s="61"/>
      <c r="N20" s="61"/>
      <c r="O20" s="61"/>
    </row>
    <row r="21" spans="1:15" ht="20.100000000000001" customHeight="1" x14ac:dyDescent="0.25">
      <c r="A21" s="64" t="s">
        <v>223</v>
      </c>
      <c r="B21" s="65">
        <f>'0_Accueil'!$D$10</f>
        <v>46260</v>
      </c>
      <c r="C21" s="65">
        <f t="shared" ref="C21:C33" si="0">B21+6</f>
        <v>46266</v>
      </c>
      <c r="D21" s="66">
        <f>IF($B21='0_Accueil'!$D$10,SUMIFS('2_Clients'!$I$12:$I$111,'2_Clients'!$D$12:$D$111,"&gt;0",'2_Clients'!$D$12:$D$111,"&lt;="&amp;$C21,'2_Clients'!$I$12:$I$111,"&gt;0"),SUMIFS('2_Clients'!$I$12:$I$111,'2_Clients'!$D$12:$D$111,"&gt;="&amp;$B21,'2_Clients'!$D$12:$D$111,"&lt;="&amp;$C21,'2_Clients'!$I$12:$I$111,"&gt;0"))</f>
        <v>0</v>
      </c>
      <c r="E21" s="66">
        <f>IF($B21='0_Accueil'!$D$10,SUMIFS('3_Fournisseurs'!$J$12:$J$71,'3_Fournisseurs'!$E$12:$E$71,"&gt;0",'3_Fournisseurs'!$E$12:$E$71,"&lt;="&amp;$C21,'3_Fournisseurs'!$J$12:$J$71,"&gt;0"),SUMIFS('3_Fournisseurs'!$J$12:$J$71,'3_Fournisseurs'!$E$12:$E$71,"&gt;="&amp;$B21,'3_Fournisseurs'!$E$12:$E$71,"&lt;="&amp;$C21,'3_Fournisseurs'!$J$12:$J$71,"&gt;0"))</f>
        <v>0</v>
      </c>
      <c r="F21" s="66">
        <f t="shared" ref="F21:F33" si="1">D21-E21</f>
        <v>0</v>
      </c>
      <c r="G21" s="66">
        <f>F21</f>
        <v>0</v>
      </c>
      <c r="H21" s="61"/>
      <c r="I21" s="61"/>
      <c r="J21" s="61"/>
      <c r="K21" s="61"/>
      <c r="L21" s="61"/>
      <c r="M21" s="61"/>
      <c r="N21" s="61"/>
      <c r="O21" s="61"/>
    </row>
    <row r="22" spans="1:15" ht="20.100000000000001" customHeight="1" x14ac:dyDescent="0.25">
      <c r="A22" s="67" t="s">
        <v>224</v>
      </c>
      <c r="B22" s="68">
        <f t="shared" ref="B22:B33" si="2">C21+1</f>
        <v>46267</v>
      </c>
      <c r="C22" s="68">
        <f t="shared" si="0"/>
        <v>46273</v>
      </c>
      <c r="D22" s="69">
        <f>IF($B22='0_Accueil'!$D$10,SUMIFS('2_Clients'!$I$12:$I$111,'2_Clients'!$D$12:$D$111,"&gt;0",'2_Clients'!$D$12:$D$111,"&lt;="&amp;$C22,'2_Clients'!$I$12:$I$111,"&gt;0"),SUMIFS('2_Clients'!$I$12:$I$111,'2_Clients'!$D$12:$D$111,"&gt;="&amp;$B22,'2_Clients'!$D$12:$D$111,"&lt;="&amp;$C22,'2_Clients'!$I$12:$I$111,"&gt;0"))</f>
        <v>0</v>
      </c>
      <c r="E22" s="69">
        <f>IF($B22='0_Accueil'!$D$10,SUMIFS('3_Fournisseurs'!$J$12:$J$71,'3_Fournisseurs'!$E$12:$E$71,"&gt;0",'3_Fournisseurs'!$E$12:$E$71,"&lt;="&amp;$C22,'3_Fournisseurs'!$J$12:$J$71,"&gt;0"),SUMIFS('3_Fournisseurs'!$J$12:$J$71,'3_Fournisseurs'!$E$12:$E$71,"&gt;="&amp;$B22,'3_Fournisseurs'!$E$12:$E$71,"&lt;="&amp;$C22,'3_Fournisseurs'!$J$12:$J$71,"&gt;0"))</f>
        <v>0</v>
      </c>
      <c r="F22" s="69">
        <f t="shared" si="1"/>
        <v>0</v>
      </c>
      <c r="G22" s="69">
        <f t="shared" ref="G22:G33" si="3">G21+F22</f>
        <v>0</v>
      </c>
      <c r="H22" s="61"/>
      <c r="I22" s="61"/>
      <c r="J22" s="61"/>
      <c r="K22" s="61"/>
      <c r="L22" s="61"/>
      <c r="M22" s="61"/>
      <c r="N22" s="61"/>
      <c r="O22" s="61"/>
    </row>
    <row r="23" spans="1:15" ht="20.100000000000001" customHeight="1" x14ac:dyDescent="0.25">
      <c r="A23" s="67" t="s">
        <v>225</v>
      </c>
      <c r="B23" s="68">
        <f t="shared" si="2"/>
        <v>46274</v>
      </c>
      <c r="C23" s="68">
        <f t="shared" si="0"/>
        <v>46280</v>
      </c>
      <c r="D23" s="69">
        <f>IF($B23='0_Accueil'!$D$10,SUMIFS('2_Clients'!$I$12:$I$111,'2_Clients'!$D$12:$D$111,"&gt;0",'2_Clients'!$D$12:$D$111,"&lt;="&amp;$C23,'2_Clients'!$I$12:$I$111,"&gt;0"),SUMIFS('2_Clients'!$I$12:$I$111,'2_Clients'!$D$12:$D$111,"&gt;="&amp;$B23,'2_Clients'!$D$12:$D$111,"&lt;="&amp;$C23,'2_Clients'!$I$12:$I$111,"&gt;0"))</f>
        <v>0</v>
      </c>
      <c r="E23" s="69">
        <f>IF($B23='0_Accueil'!$D$10,SUMIFS('3_Fournisseurs'!$J$12:$J$71,'3_Fournisseurs'!$E$12:$E$71,"&gt;0",'3_Fournisseurs'!$E$12:$E$71,"&lt;="&amp;$C23,'3_Fournisseurs'!$J$12:$J$71,"&gt;0"),SUMIFS('3_Fournisseurs'!$J$12:$J$71,'3_Fournisseurs'!$E$12:$E$71,"&gt;="&amp;$B23,'3_Fournisseurs'!$E$12:$E$71,"&lt;="&amp;$C23,'3_Fournisseurs'!$J$12:$J$71,"&gt;0"))</f>
        <v>0</v>
      </c>
      <c r="F23" s="69">
        <f t="shared" si="1"/>
        <v>0</v>
      </c>
      <c r="G23" s="69">
        <f t="shared" si="3"/>
        <v>0</v>
      </c>
      <c r="H23" s="61"/>
      <c r="I23" s="61"/>
      <c r="J23" s="61"/>
      <c r="K23" s="61"/>
      <c r="L23" s="61"/>
      <c r="M23" s="61"/>
      <c r="N23" s="61"/>
      <c r="O23" s="61"/>
    </row>
    <row r="24" spans="1:15" ht="20.100000000000001" customHeight="1" x14ac:dyDescent="0.25">
      <c r="A24" s="67" t="s">
        <v>226</v>
      </c>
      <c r="B24" s="68">
        <f t="shared" si="2"/>
        <v>46281</v>
      </c>
      <c r="C24" s="68">
        <f t="shared" si="0"/>
        <v>46287</v>
      </c>
      <c r="D24" s="69">
        <f>IF($B24='0_Accueil'!$D$10,SUMIFS('2_Clients'!$I$12:$I$111,'2_Clients'!$D$12:$D$111,"&gt;0",'2_Clients'!$D$12:$D$111,"&lt;="&amp;$C24,'2_Clients'!$I$12:$I$111,"&gt;0"),SUMIFS('2_Clients'!$I$12:$I$111,'2_Clients'!$D$12:$D$111,"&gt;="&amp;$B24,'2_Clients'!$D$12:$D$111,"&lt;="&amp;$C24,'2_Clients'!$I$12:$I$111,"&gt;0"))</f>
        <v>0</v>
      </c>
      <c r="E24" s="69">
        <f>IF($B24='0_Accueil'!$D$10,SUMIFS('3_Fournisseurs'!$J$12:$J$71,'3_Fournisseurs'!$E$12:$E$71,"&gt;0",'3_Fournisseurs'!$E$12:$E$71,"&lt;="&amp;$C24,'3_Fournisseurs'!$J$12:$J$71,"&gt;0"),SUMIFS('3_Fournisseurs'!$J$12:$J$71,'3_Fournisseurs'!$E$12:$E$71,"&gt;="&amp;$B24,'3_Fournisseurs'!$E$12:$E$71,"&lt;="&amp;$C24,'3_Fournisseurs'!$J$12:$J$71,"&gt;0"))</f>
        <v>0</v>
      </c>
      <c r="F24" s="69">
        <f t="shared" si="1"/>
        <v>0</v>
      </c>
      <c r="G24" s="69">
        <f t="shared" si="3"/>
        <v>0</v>
      </c>
      <c r="H24" s="61"/>
      <c r="I24" s="61"/>
      <c r="J24" s="61"/>
      <c r="K24" s="61"/>
      <c r="L24" s="61"/>
      <c r="M24" s="61"/>
      <c r="N24" s="61"/>
      <c r="O24" s="61"/>
    </row>
    <row r="25" spans="1:15" ht="20.100000000000001" customHeight="1" x14ac:dyDescent="0.25">
      <c r="A25" s="67" t="s">
        <v>227</v>
      </c>
      <c r="B25" s="68">
        <f t="shared" si="2"/>
        <v>46288</v>
      </c>
      <c r="C25" s="68">
        <f t="shared" si="0"/>
        <v>46294</v>
      </c>
      <c r="D25" s="69">
        <f>IF($B25='0_Accueil'!$D$10,SUMIFS('2_Clients'!$I$12:$I$111,'2_Clients'!$D$12:$D$111,"&gt;0",'2_Clients'!$D$12:$D$111,"&lt;="&amp;$C25,'2_Clients'!$I$12:$I$111,"&gt;0"),SUMIFS('2_Clients'!$I$12:$I$111,'2_Clients'!$D$12:$D$111,"&gt;="&amp;$B25,'2_Clients'!$D$12:$D$111,"&lt;="&amp;$C25,'2_Clients'!$I$12:$I$111,"&gt;0"))</f>
        <v>0</v>
      </c>
      <c r="E25" s="69">
        <f>IF($B25='0_Accueil'!$D$10,SUMIFS('3_Fournisseurs'!$J$12:$J$71,'3_Fournisseurs'!$E$12:$E$71,"&gt;0",'3_Fournisseurs'!$E$12:$E$71,"&lt;="&amp;$C25,'3_Fournisseurs'!$J$12:$J$71,"&gt;0"),SUMIFS('3_Fournisseurs'!$J$12:$J$71,'3_Fournisseurs'!$E$12:$E$71,"&gt;="&amp;$B25,'3_Fournisseurs'!$E$12:$E$71,"&lt;="&amp;$C25,'3_Fournisseurs'!$J$12:$J$71,"&gt;0"))</f>
        <v>0</v>
      </c>
      <c r="F25" s="69">
        <f t="shared" si="1"/>
        <v>0</v>
      </c>
      <c r="G25" s="69">
        <f t="shared" si="3"/>
        <v>0</v>
      </c>
      <c r="H25" s="61"/>
      <c r="I25" s="61"/>
      <c r="J25" s="61"/>
      <c r="K25" s="61"/>
      <c r="L25" s="61"/>
      <c r="M25" s="61"/>
      <c r="N25" s="61"/>
      <c r="O25" s="61"/>
    </row>
    <row r="26" spans="1:15" ht="20.100000000000001" customHeight="1" x14ac:dyDescent="0.25">
      <c r="A26" s="67" t="s">
        <v>228</v>
      </c>
      <c r="B26" s="68">
        <f t="shared" si="2"/>
        <v>46295</v>
      </c>
      <c r="C26" s="68">
        <f t="shared" si="0"/>
        <v>46301</v>
      </c>
      <c r="D26" s="69">
        <f>IF($B26='0_Accueil'!$D$10,SUMIFS('2_Clients'!$I$12:$I$111,'2_Clients'!$D$12:$D$111,"&gt;0",'2_Clients'!$D$12:$D$111,"&lt;="&amp;$C26,'2_Clients'!$I$12:$I$111,"&gt;0"),SUMIFS('2_Clients'!$I$12:$I$111,'2_Clients'!$D$12:$D$111,"&gt;="&amp;$B26,'2_Clients'!$D$12:$D$111,"&lt;="&amp;$C26,'2_Clients'!$I$12:$I$111,"&gt;0"))</f>
        <v>0</v>
      </c>
      <c r="E26" s="69">
        <f>IF($B26='0_Accueil'!$D$10,SUMIFS('3_Fournisseurs'!$J$12:$J$71,'3_Fournisseurs'!$E$12:$E$71,"&gt;0",'3_Fournisseurs'!$E$12:$E$71,"&lt;="&amp;$C26,'3_Fournisseurs'!$J$12:$J$71,"&gt;0"),SUMIFS('3_Fournisseurs'!$J$12:$J$71,'3_Fournisseurs'!$E$12:$E$71,"&gt;="&amp;$B26,'3_Fournisseurs'!$E$12:$E$71,"&lt;="&amp;$C26,'3_Fournisseurs'!$J$12:$J$71,"&gt;0"))</f>
        <v>0</v>
      </c>
      <c r="F26" s="69">
        <f t="shared" si="1"/>
        <v>0</v>
      </c>
      <c r="G26" s="69">
        <f t="shared" si="3"/>
        <v>0</v>
      </c>
      <c r="H26" s="61"/>
      <c r="I26" s="61"/>
      <c r="J26" s="61"/>
      <c r="K26" s="61"/>
      <c r="L26" s="61"/>
      <c r="M26" s="61"/>
      <c r="N26" s="61"/>
      <c r="O26" s="61"/>
    </row>
    <row r="27" spans="1:15" ht="20.100000000000001" customHeight="1" x14ac:dyDescent="0.25">
      <c r="A27" s="67" t="s">
        <v>229</v>
      </c>
      <c r="B27" s="68">
        <f t="shared" si="2"/>
        <v>46302</v>
      </c>
      <c r="C27" s="68">
        <f t="shared" si="0"/>
        <v>46308</v>
      </c>
      <c r="D27" s="69">
        <f>IF($B27='0_Accueil'!$D$10,SUMIFS('2_Clients'!$I$12:$I$111,'2_Clients'!$D$12:$D$111,"&gt;0",'2_Clients'!$D$12:$D$111,"&lt;="&amp;$C27,'2_Clients'!$I$12:$I$111,"&gt;0"),SUMIFS('2_Clients'!$I$12:$I$111,'2_Clients'!$D$12:$D$111,"&gt;="&amp;$B27,'2_Clients'!$D$12:$D$111,"&lt;="&amp;$C27,'2_Clients'!$I$12:$I$111,"&gt;0"))</f>
        <v>0</v>
      </c>
      <c r="E27" s="69">
        <f>IF($B27='0_Accueil'!$D$10,SUMIFS('3_Fournisseurs'!$J$12:$J$71,'3_Fournisseurs'!$E$12:$E$71,"&gt;0",'3_Fournisseurs'!$E$12:$E$71,"&lt;="&amp;$C27,'3_Fournisseurs'!$J$12:$J$71,"&gt;0"),SUMIFS('3_Fournisseurs'!$J$12:$J$71,'3_Fournisseurs'!$E$12:$E$71,"&gt;="&amp;$B27,'3_Fournisseurs'!$E$12:$E$71,"&lt;="&amp;$C27,'3_Fournisseurs'!$J$12:$J$71,"&gt;0"))</f>
        <v>0</v>
      </c>
      <c r="F27" s="69">
        <f t="shared" si="1"/>
        <v>0</v>
      </c>
      <c r="G27" s="69">
        <f t="shared" si="3"/>
        <v>0</v>
      </c>
      <c r="H27" s="61"/>
      <c r="I27" s="61"/>
      <c r="J27" s="61"/>
      <c r="K27" s="61"/>
      <c r="L27" s="61"/>
      <c r="M27" s="61"/>
      <c r="N27" s="61"/>
      <c r="O27" s="61"/>
    </row>
    <row r="28" spans="1:15" ht="20.100000000000001" customHeight="1" x14ac:dyDescent="0.25">
      <c r="A28" s="67" t="s">
        <v>230</v>
      </c>
      <c r="B28" s="68">
        <f t="shared" si="2"/>
        <v>46309</v>
      </c>
      <c r="C28" s="68">
        <f t="shared" si="0"/>
        <v>46315</v>
      </c>
      <c r="D28" s="69">
        <f>IF($B28='0_Accueil'!$D$10,SUMIFS('2_Clients'!$I$12:$I$111,'2_Clients'!$D$12:$D$111,"&gt;0",'2_Clients'!$D$12:$D$111,"&lt;="&amp;$C28,'2_Clients'!$I$12:$I$111,"&gt;0"),SUMIFS('2_Clients'!$I$12:$I$111,'2_Clients'!$D$12:$D$111,"&gt;="&amp;$B28,'2_Clients'!$D$12:$D$111,"&lt;="&amp;$C28,'2_Clients'!$I$12:$I$111,"&gt;0"))</f>
        <v>0</v>
      </c>
      <c r="E28" s="69">
        <f>IF($B28='0_Accueil'!$D$10,SUMIFS('3_Fournisseurs'!$J$12:$J$71,'3_Fournisseurs'!$E$12:$E$71,"&gt;0",'3_Fournisseurs'!$E$12:$E$71,"&lt;="&amp;$C28,'3_Fournisseurs'!$J$12:$J$71,"&gt;0"),SUMIFS('3_Fournisseurs'!$J$12:$J$71,'3_Fournisseurs'!$E$12:$E$71,"&gt;="&amp;$B28,'3_Fournisseurs'!$E$12:$E$71,"&lt;="&amp;$C28,'3_Fournisseurs'!$J$12:$J$71,"&gt;0"))</f>
        <v>0</v>
      </c>
      <c r="F28" s="69">
        <f t="shared" si="1"/>
        <v>0</v>
      </c>
      <c r="G28" s="69">
        <f t="shared" si="3"/>
        <v>0</v>
      </c>
      <c r="H28" s="61"/>
      <c r="I28" s="61"/>
      <c r="J28" s="61"/>
      <c r="K28" s="61"/>
      <c r="L28" s="61"/>
      <c r="M28" s="61"/>
      <c r="N28" s="61"/>
      <c r="O28" s="61"/>
    </row>
    <row r="29" spans="1:15" ht="20.100000000000001" customHeight="1" x14ac:dyDescent="0.25">
      <c r="A29" s="67" t="s">
        <v>231</v>
      </c>
      <c r="B29" s="68">
        <f t="shared" si="2"/>
        <v>46316</v>
      </c>
      <c r="C29" s="68">
        <f t="shared" si="0"/>
        <v>46322</v>
      </c>
      <c r="D29" s="69">
        <f>IF($B29='0_Accueil'!$D$10,SUMIFS('2_Clients'!$I$12:$I$111,'2_Clients'!$D$12:$D$111,"&gt;0",'2_Clients'!$D$12:$D$111,"&lt;="&amp;$C29,'2_Clients'!$I$12:$I$111,"&gt;0"),SUMIFS('2_Clients'!$I$12:$I$111,'2_Clients'!$D$12:$D$111,"&gt;="&amp;$B29,'2_Clients'!$D$12:$D$111,"&lt;="&amp;$C29,'2_Clients'!$I$12:$I$111,"&gt;0"))</f>
        <v>0</v>
      </c>
      <c r="E29" s="69">
        <f>IF($B29='0_Accueil'!$D$10,SUMIFS('3_Fournisseurs'!$J$12:$J$71,'3_Fournisseurs'!$E$12:$E$71,"&gt;0",'3_Fournisseurs'!$E$12:$E$71,"&lt;="&amp;$C29,'3_Fournisseurs'!$J$12:$J$71,"&gt;0"),SUMIFS('3_Fournisseurs'!$J$12:$J$71,'3_Fournisseurs'!$E$12:$E$71,"&gt;="&amp;$B29,'3_Fournisseurs'!$E$12:$E$71,"&lt;="&amp;$C29,'3_Fournisseurs'!$J$12:$J$71,"&gt;0"))</f>
        <v>0</v>
      </c>
      <c r="F29" s="69">
        <f t="shared" si="1"/>
        <v>0</v>
      </c>
      <c r="G29" s="69">
        <f t="shared" si="3"/>
        <v>0</v>
      </c>
      <c r="H29" s="61"/>
      <c r="I29" s="61"/>
      <c r="J29" s="61"/>
      <c r="K29" s="61"/>
      <c r="L29" s="61"/>
      <c r="M29" s="61"/>
      <c r="N29" s="61"/>
      <c r="O29" s="61"/>
    </row>
    <row r="30" spans="1:15" ht="20.100000000000001" customHeight="1" x14ac:dyDescent="0.25">
      <c r="A30" s="67" t="s">
        <v>232</v>
      </c>
      <c r="B30" s="68">
        <f t="shared" si="2"/>
        <v>46323</v>
      </c>
      <c r="C30" s="68">
        <f t="shared" si="0"/>
        <v>46329</v>
      </c>
      <c r="D30" s="69">
        <f>IF($B30='0_Accueil'!$D$10,SUMIFS('2_Clients'!$I$12:$I$111,'2_Clients'!$D$12:$D$111,"&gt;0",'2_Clients'!$D$12:$D$111,"&lt;="&amp;$C30,'2_Clients'!$I$12:$I$111,"&gt;0"),SUMIFS('2_Clients'!$I$12:$I$111,'2_Clients'!$D$12:$D$111,"&gt;="&amp;$B30,'2_Clients'!$D$12:$D$111,"&lt;="&amp;$C30,'2_Clients'!$I$12:$I$111,"&gt;0"))</f>
        <v>0</v>
      </c>
      <c r="E30" s="69">
        <f>IF($B30='0_Accueil'!$D$10,SUMIFS('3_Fournisseurs'!$J$12:$J$71,'3_Fournisseurs'!$E$12:$E$71,"&gt;0",'3_Fournisseurs'!$E$12:$E$71,"&lt;="&amp;$C30,'3_Fournisseurs'!$J$12:$J$71,"&gt;0"),SUMIFS('3_Fournisseurs'!$J$12:$J$71,'3_Fournisseurs'!$E$12:$E$71,"&gt;="&amp;$B30,'3_Fournisseurs'!$E$12:$E$71,"&lt;="&amp;$C30,'3_Fournisseurs'!$J$12:$J$71,"&gt;0"))</f>
        <v>0</v>
      </c>
      <c r="F30" s="69">
        <f t="shared" si="1"/>
        <v>0</v>
      </c>
      <c r="G30" s="69">
        <f t="shared" si="3"/>
        <v>0</v>
      </c>
      <c r="H30" s="61"/>
      <c r="I30" s="61"/>
      <c r="J30" s="61"/>
      <c r="K30" s="61"/>
      <c r="L30" s="61"/>
      <c r="M30" s="61"/>
      <c r="N30" s="61"/>
      <c r="O30" s="61"/>
    </row>
    <row r="31" spans="1:15" ht="20.100000000000001" customHeight="1" x14ac:dyDescent="0.25">
      <c r="A31" s="67" t="s">
        <v>233</v>
      </c>
      <c r="B31" s="68">
        <f t="shared" si="2"/>
        <v>46330</v>
      </c>
      <c r="C31" s="68">
        <f t="shared" si="0"/>
        <v>46336</v>
      </c>
      <c r="D31" s="69">
        <f>IF($B31='0_Accueil'!$D$10,SUMIFS('2_Clients'!$I$12:$I$111,'2_Clients'!$D$12:$D$111,"&gt;0",'2_Clients'!$D$12:$D$111,"&lt;="&amp;$C31,'2_Clients'!$I$12:$I$111,"&gt;0"),SUMIFS('2_Clients'!$I$12:$I$111,'2_Clients'!$D$12:$D$111,"&gt;="&amp;$B31,'2_Clients'!$D$12:$D$111,"&lt;="&amp;$C31,'2_Clients'!$I$12:$I$111,"&gt;0"))</f>
        <v>0</v>
      </c>
      <c r="E31" s="69">
        <f>IF($B31='0_Accueil'!$D$10,SUMIFS('3_Fournisseurs'!$J$12:$J$71,'3_Fournisseurs'!$E$12:$E$71,"&gt;0",'3_Fournisseurs'!$E$12:$E$71,"&lt;="&amp;$C31,'3_Fournisseurs'!$J$12:$J$71,"&gt;0"),SUMIFS('3_Fournisseurs'!$J$12:$J$71,'3_Fournisseurs'!$E$12:$E$71,"&gt;="&amp;$B31,'3_Fournisseurs'!$E$12:$E$71,"&lt;="&amp;$C31,'3_Fournisseurs'!$J$12:$J$71,"&gt;0"))</f>
        <v>0</v>
      </c>
      <c r="F31" s="69">
        <f t="shared" si="1"/>
        <v>0</v>
      </c>
      <c r="G31" s="69">
        <f t="shared" si="3"/>
        <v>0</v>
      </c>
      <c r="H31" s="61"/>
      <c r="I31" s="61"/>
      <c r="J31" s="61"/>
      <c r="K31" s="61"/>
      <c r="L31" s="61"/>
      <c r="M31" s="61"/>
      <c r="N31" s="61"/>
      <c r="O31" s="61"/>
    </row>
    <row r="32" spans="1:15" ht="20.100000000000001" customHeight="1" x14ac:dyDescent="0.25">
      <c r="A32" s="67" t="s">
        <v>234</v>
      </c>
      <c r="B32" s="68">
        <f t="shared" si="2"/>
        <v>46337</v>
      </c>
      <c r="C32" s="68">
        <f t="shared" si="0"/>
        <v>46343</v>
      </c>
      <c r="D32" s="69">
        <f>IF($B32='0_Accueil'!$D$10,SUMIFS('2_Clients'!$I$12:$I$111,'2_Clients'!$D$12:$D$111,"&gt;0",'2_Clients'!$D$12:$D$111,"&lt;="&amp;$C32,'2_Clients'!$I$12:$I$111,"&gt;0"),SUMIFS('2_Clients'!$I$12:$I$111,'2_Clients'!$D$12:$D$111,"&gt;="&amp;$B32,'2_Clients'!$D$12:$D$111,"&lt;="&amp;$C32,'2_Clients'!$I$12:$I$111,"&gt;0"))</f>
        <v>0</v>
      </c>
      <c r="E32" s="69">
        <f>IF($B32='0_Accueil'!$D$10,SUMIFS('3_Fournisseurs'!$J$12:$J$71,'3_Fournisseurs'!$E$12:$E$71,"&gt;0",'3_Fournisseurs'!$E$12:$E$71,"&lt;="&amp;$C32,'3_Fournisseurs'!$J$12:$J$71,"&gt;0"),SUMIFS('3_Fournisseurs'!$J$12:$J$71,'3_Fournisseurs'!$E$12:$E$71,"&gt;="&amp;$B32,'3_Fournisseurs'!$E$12:$E$71,"&lt;="&amp;$C32,'3_Fournisseurs'!$J$12:$J$71,"&gt;0"))</f>
        <v>0</v>
      </c>
      <c r="F32" s="69">
        <f t="shared" si="1"/>
        <v>0</v>
      </c>
      <c r="G32" s="69">
        <f t="shared" si="3"/>
        <v>0</v>
      </c>
      <c r="H32" s="61"/>
      <c r="I32" s="61"/>
      <c r="J32" s="61"/>
      <c r="K32" s="61"/>
      <c r="L32" s="61"/>
      <c r="M32" s="61"/>
      <c r="N32" s="61"/>
      <c r="O32" s="61"/>
    </row>
    <row r="33" spans="1:15" ht="20.100000000000001" customHeight="1" x14ac:dyDescent="0.25">
      <c r="A33" s="67" t="s">
        <v>235</v>
      </c>
      <c r="B33" s="68">
        <f t="shared" si="2"/>
        <v>46344</v>
      </c>
      <c r="C33" s="68">
        <f t="shared" si="0"/>
        <v>46350</v>
      </c>
      <c r="D33" s="69">
        <f>IF($B33='0_Accueil'!$D$10,SUMIFS('2_Clients'!$I$12:$I$111,'2_Clients'!$D$12:$D$111,"&gt;0",'2_Clients'!$D$12:$D$111,"&lt;="&amp;$C33,'2_Clients'!$I$12:$I$111,"&gt;0"),SUMIFS('2_Clients'!$I$12:$I$111,'2_Clients'!$D$12:$D$111,"&gt;="&amp;$B33,'2_Clients'!$D$12:$D$111,"&lt;="&amp;$C33,'2_Clients'!$I$12:$I$111,"&gt;0"))</f>
        <v>0</v>
      </c>
      <c r="E33" s="69">
        <f>IF($B33='0_Accueil'!$D$10,SUMIFS('3_Fournisseurs'!$J$12:$J$71,'3_Fournisseurs'!$E$12:$E$71,"&gt;0",'3_Fournisseurs'!$E$12:$E$71,"&lt;="&amp;$C33,'3_Fournisseurs'!$J$12:$J$71,"&gt;0"),SUMIFS('3_Fournisseurs'!$J$12:$J$71,'3_Fournisseurs'!$E$12:$E$71,"&gt;="&amp;$B33,'3_Fournisseurs'!$E$12:$E$71,"&lt;="&amp;$C33,'3_Fournisseurs'!$J$12:$J$71,"&gt;0"))</f>
        <v>0</v>
      </c>
      <c r="F33" s="69">
        <f t="shared" si="1"/>
        <v>0</v>
      </c>
      <c r="G33" s="69">
        <f t="shared" si="3"/>
        <v>0</v>
      </c>
      <c r="H33" s="61"/>
      <c r="I33" s="61"/>
      <c r="J33" s="61"/>
      <c r="K33" s="61"/>
      <c r="L33" s="61"/>
      <c r="M33" s="61"/>
      <c r="N33" s="61"/>
      <c r="O33" s="61"/>
    </row>
    <row r="34" spans="1:15" x14ac:dyDescent="0.25">
      <c r="A34" s="70"/>
      <c r="B34" s="70"/>
      <c r="C34" s="70"/>
      <c r="D34" s="70"/>
      <c r="E34" s="70"/>
      <c r="F34" s="70"/>
      <c r="G34" s="70"/>
      <c r="H34" s="61"/>
      <c r="I34" s="61"/>
      <c r="J34" s="61"/>
      <c r="K34" s="61"/>
      <c r="L34" s="61"/>
      <c r="M34" s="61"/>
      <c r="N34" s="61"/>
      <c r="O34" s="61"/>
    </row>
    <row r="35" spans="1:15" x14ac:dyDescent="0.25">
      <c r="A35" s="70"/>
      <c r="B35" s="70"/>
      <c r="C35" s="70"/>
      <c r="D35" s="70"/>
      <c r="E35" s="70"/>
      <c r="F35" s="70"/>
      <c r="G35" s="70"/>
      <c r="H35" s="61"/>
      <c r="I35" s="61"/>
      <c r="J35" s="61"/>
      <c r="K35" s="61"/>
      <c r="L35" s="61"/>
      <c r="M35" s="61"/>
      <c r="N35" s="61"/>
      <c r="O35" s="61"/>
    </row>
    <row r="36" spans="1:15" ht="24" customHeight="1" x14ac:dyDescent="0.25">
      <c r="A36" s="181" t="s">
        <v>236</v>
      </c>
      <c r="B36" s="181"/>
      <c r="C36" s="181"/>
      <c r="D36" s="181"/>
      <c r="E36" s="181"/>
      <c r="F36" s="181"/>
      <c r="G36" s="181"/>
      <c r="H36" s="128"/>
      <c r="I36" s="128"/>
      <c r="J36" s="128"/>
      <c r="K36" s="128"/>
      <c r="L36" s="128"/>
      <c r="M36" s="128"/>
      <c r="N36" s="128"/>
      <c r="O36" s="128"/>
    </row>
    <row r="37" spans="1:15" x14ac:dyDescent="0.25">
      <c r="A37" s="62" t="s">
        <v>237</v>
      </c>
      <c r="B37" s="62" t="s">
        <v>238</v>
      </c>
      <c r="C37" s="62" t="s">
        <v>62</v>
      </c>
      <c r="D37" s="62" t="s">
        <v>239</v>
      </c>
      <c r="E37" s="70"/>
      <c r="F37" s="70"/>
      <c r="G37" s="70"/>
      <c r="H37" s="61"/>
      <c r="I37" s="61"/>
      <c r="J37" s="61"/>
      <c r="K37" s="61"/>
      <c r="L37" s="61"/>
      <c r="M37" s="61"/>
      <c r="N37" s="61"/>
      <c r="O37" s="61"/>
    </row>
    <row r="38" spans="1:15" x14ac:dyDescent="0.25">
      <c r="A38" s="71" t="s">
        <v>240</v>
      </c>
      <c r="B38" s="72">
        <f>SUMIFS('2_Clients'!$I$12:$I$111,'2_Clients'!$K$12:$K$111,"&lt;=0",'2_Clients'!$I$12:$I$111,"&gt;0")</f>
        <v>0</v>
      </c>
      <c r="C38" s="73">
        <f>IFERROR(B38/'2_Clients'!$M$7,0)</f>
        <v>0</v>
      </c>
      <c r="D38" s="74">
        <f>COUNTIFS('2_Clients'!$K$12:$K$111,"&lt;=0",'2_Clients'!$I$12:$I$111,"&gt;0")</f>
        <v>0</v>
      </c>
      <c r="E38" s="70"/>
      <c r="F38" s="70"/>
      <c r="G38" s="70"/>
      <c r="H38" s="61"/>
      <c r="I38" s="61"/>
      <c r="J38" s="61"/>
      <c r="K38" s="61"/>
      <c r="L38" s="61"/>
      <c r="M38" s="61"/>
      <c r="N38" s="61"/>
      <c r="O38" s="61"/>
    </row>
    <row r="39" spans="1:15" x14ac:dyDescent="0.25">
      <c r="A39" s="71" t="s">
        <v>241</v>
      </c>
      <c r="B39" s="72">
        <f>SUMIFS('2_Clients'!$I$12:$I$111,'2_Clients'!$K$12:$K$111,"&gt;0",'2_Clients'!$K$12:$K$111,"&lt;=30",'2_Clients'!$I$12:$I$111,"&gt;0")</f>
        <v>0</v>
      </c>
      <c r="C39" s="73">
        <f>IFERROR(B39/'2_Clients'!$M$7,0)</f>
        <v>0</v>
      </c>
      <c r="D39" s="74">
        <f>COUNTIFS('2_Clients'!$K$12:$K$111,"&gt;0",'2_Clients'!$K$12:$K$111,"&lt;=30",'2_Clients'!$I$12:$I$111,"&gt;0")</f>
        <v>0</v>
      </c>
      <c r="E39" s="70"/>
      <c r="F39" s="70"/>
      <c r="G39" s="70"/>
      <c r="H39" s="61"/>
      <c r="I39" s="61"/>
      <c r="J39" s="61"/>
      <c r="K39" s="61"/>
      <c r="L39" s="61"/>
      <c r="M39" s="61"/>
      <c r="N39" s="61"/>
      <c r="O39" s="61"/>
    </row>
    <row r="40" spans="1:15" x14ac:dyDescent="0.25">
      <c r="A40" s="71" t="s">
        <v>242</v>
      </c>
      <c r="B40" s="72">
        <f>SUMIFS('2_Clients'!$I$12:$I$111,'2_Clients'!$K$12:$K$111,"&gt;30",'2_Clients'!$K$12:$K$111,"&lt;=60",'2_Clients'!$I$12:$I$111,"&gt;0")</f>
        <v>0</v>
      </c>
      <c r="C40" s="73">
        <f>IFERROR(B40/'2_Clients'!$M$7,0)</f>
        <v>0</v>
      </c>
      <c r="D40" s="74">
        <f>COUNTIFS('2_Clients'!$K$12:$K$111,"&gt;30",'2_Clients'!$K$12:$K$111,"&lt;=60",'2_Clients'!$I$12:$I$111,"&gt;0")</f>
        <v>0</v>
      </c>
      <c r="E40" s="70"/>
      <c r="F40" s="70"/>
      <c r="G40" s="70"/>
      <c r="H40" s="61"/>
      <c r="I40" s="61"/>
      <c r="J40" s="61"/>
      <c r="K40" s="61"/>
      <c r="L40" s="61"/>
      <c r="M40" s="61"/>
      <c r="N40" s="61"/>
      <c r="O40" s="61"/>
    </row>
    <row r="41" spans="1:15" x14ac:dyDescent="0.25">
      <c r="A41" s="71" t="s">
        <v>243</v>
      </c>
      <c r="B41" s="72">
        <f>SUMIFS('2_Clients'!$I$12:$I$111,'2_Clients'!$K$12:$K$111,"&gt;60",'2_Clients'!$K$12:$K$111,"&lt;=90",'2_Clients'!$I$12:$I$111,"&gt;0")</f>
        <v>0</v>
      </c>
      <c r="C41" s="73">
        <f>IFERROR(B41/'2_Clients'!$M$7,0)</f>
        <v>0</v>
      </c>
      <c r="D41" s="74">
        <f>COUNTIFS('2_Clients'!$K$12:$K$111,"&gt;60",'2_Clients'!$K$12:$K$111,"&lt;=90",'2_Clients'!$I$12:$I$111,"&gt;0")</f>
        <v>0</v>
      </c>
      <c r="E41" s="70"/>
      <c r="F41" s="70"/>
      <c r="G41" s="70"/>
      <c r="H41" s="61"/>
      <c r="I41" s="61"/>
      <c r="J41" s="61"/>
      <c r="K41" s="61"/>
      <c r="L41" s="61"/>
      <c r="M41" s="61"/>
      <c r="N41" s="61"/>
      <c r="O41" s="61"/>
    </row>
    <row r="42" spans="1:15" x14ac:dyDescent="0.25">
      <c r="A42" s="71" t="s">
        <v>244</v>
      </c>
      <c r="B42" s="72">
        <f>SUMIFS('2_Clients'!$I$12:$I$111,'2_Clients'!$K$12:$K$111,"&gt;90",'2_Clients'!$I$12:$I$111,"&gt;0")</f>
        <v>0</v>
      </c>
      <c r="C42" s="73">
        <f>IFERROR(B42/'2_Clients'!$M$7,0)</f>
        <v>0</v>
      </c>
      <c r="D42" s="74">
        <f>COUNTIFS('2_Clients'!$K$12:$K$111,"&gt;90",'2_Clients'!$I$12:$I$111,"&gt;0")</f>
        <v>0</v>
      </c>
      <c r="E42" s="70"/>
      <c r="F42" s="70"/>
      <c r="G42" s="70"/>
      <c r="H42" s="61"/>
      <c r="I42" s="61"/>
      <c r="J42" s="61"/>
      <c r="K42" s="61"/>
      <c r="L42" s="61"/>
      <c r="M42" s="61"/>
      <c r="N42" s="61"/>
      <c r="O42" s="61"/>
    </row>
    <row r="43" spans="1:15" x14ac:dyDescent="0.25">
      <c r="A43" s="70"/>
      <c r="B43" s="70"/>
      <c r="C43" s="70"/>
      <c r="D43" s="70"/>
      <c r="E43" s="70"/>
      <c r="F43" s="70"/>
      <c r="G43" s="70"/>
      <c r="H43" s="61"/>
      <c r="I43" s="61"/>
      <c r="J43" s="61"/>
      <c r="K43" s="61"/>
      <c r="L43" s="61"/>
      <c r="M43" s="61"/>
      <c r="N43" s="61"/>
      <c r="O43" s="61"/>
    </row>
    <row r="44" spans="1:15" x14ac:dyDescent="0.25">
      <c r="A44" s="70"/>
      <c r="B44" s="70"/>
      <c r="C44" s="70"/>
      <c r="D44" s="70"/>
      <c r="E44" s="70"/>
      <c r="F44" s="70"/>
      <c r="G44" s="70"/>
      <c r="H44" s="61"/>
      <c r="I44" s="61"/>
      <c r="J44" s="61"/>
      <c r="K44" s="61"/>
      <c r="L44" s="61"/>
      <c r="M44" s="61"/>
      <c r="N44" s="61"/>
      <c r="O44" s="61"/>
    </row>
    <row r="45" spans="1:15" ht="25.5" x14ac:dyDescent="0.25">
      <c r="A45" s="62" t="s">
        <v>245</v>
      </c>
      <c r="B45" s="62" t="s">
        <v>246</v>
      </c>
      <c r="C45" s="62" t="s">
        <v>247</v>
      </c>
      <c r="D45" s="62" t="s">
        <v>248</v>
      </c>
      <c r="E45" s="70"/>
      <c r="F45" s="70"/>
      <c r="G45" s="70"/>
      <c r="H45" s="61"/>
      <c r="I45" s="61"/>
      <c r="J45" s="61"/>
      <c r="K45" s="61"/>
      <c r="L45" s="61"/>
      <c r="M45" s="61"/>
      <c r="N45" s="61"/>
      <c r="O45" s="61"/>
    </row>
    <row r="46" spans="1:15" ht="38.25" x14ac:dyDescent="0.25">
      <c r="A46" s="75" t="s">
        <v>249</v>
      </c>
      <c r="B46" s="76">
        <f>SUMIFS('3_Fournisseurs'!$J$12:$J$71,'3_Fournisseurs'!$E$12:$E$71,"&gt;0",'3_Fournisseurs'!$E$12:$E$71,"&lt;"&amp;'0_Accueil'!$D$10,'3_Fournisseurs'!$J$12:$J$71,"&gt;0")</f>
        <v>0</v>
      </c>
      <c r="C46" s="75" t="s">
        <v>250</v>
      </c>
      <c r="D46" s="75" t="s">
        <v>251</v>
      </c>
      <c r="E46" s="70"/>
      <c r="F46" s="70"/>
      <c r="G46" s="70"/>
      <c r="H46" s="61"/>
      <c r="I46" s="61"/>
      <c r="J46" s="61"/>
      <c r="K46" s="61"/>
      <c r="L46" s="61"/>
      <c r="M46" s="61"/>
      <c r="N46" s="61"/>
      <c r="O46" s="61"/>
    </row>
    <row r="47" spans="1:15" ht="38.25" x14ac:dyDescent="0.25">
      <c r="A47" s="75" t="s">
        <v>252</v>
      </c>
      <c r="B47" s="77">
        <f>COUNTIFS('3_Fournisseurs'!$E$12:$E$71,"&gt;0",'3_Fournisseurs'!$E$12:$E$71,"&lt;"&amp;'0_Accueil'!$D$10,'3_Fournisseurs'!$J$12:$J$71,"&gt;0")</f>
        <v>0</v>
      </c>
      <c r="C47" s="75" t="s">
        <v>253</v>
      </c>
      <c r="D47" s="75" t="s">
        <v>254</v>
      </c>
      <c r="E47" s="70"/>
      <c r="F47" s="70"/>
      <c r="G47" s="70"/>
      <c r="H47" s="61"/>
      <c r="I47" s="61"/>
      <c r="J47" s="61"/>
      <c r="K47" s="61"/>
      <c r="L47" s="61"/>
      <c r="M47" s="61"/>
      <c r="N47" s="61"/>
      <c r="O47" s="61"/>
    </row>
    <row r="48" spans="1:15" x14ac:dyDescent="0.25">
      <c r="A48" s="75" t="s">
        <v>255</v>
      </c>
      <c r="B48" s="78">
        <f>'3_Fournisseurs'!$M$2</f>
        <v>0</v>
      </c>
      <c r="C48" s="75" t="s">
        <v>60</v>
      </c>
      <c r="D48" s="75" t="s">
        <v>256</v>
      </c>
      <c r="E48" s="70"/>
      <c r="F48" s="70"/>
      <c r="G48" s="70"/>
      <c r="H48" s="61"/>
      <c r="I48" s="61"/>
      <c r="J48" s="61"/>
      <c r="K48" s="61"/>
      <c r="L48" s="61"/>
      <c r="M48" s="61"/>
      <c r="N48" s="61"/>
      <c r="O48" s="61"/>
    </row>
    <row r="49" spans="1:15" x14ac:dyDescent="0.25">
      <c r="A49" s="75" t="s">
        <v>257</v>
      </c>
      <c r="B49" s="78">
        <f>'3_Fournisseurs'!$M$3</f>
        <v>0</v>
      </c>
      <c r="C49" s="75" t="s">
        <v>60</v>
      </c>
      <c r="D49" s="75" t="s">
        <v>258</v>
      </c>
      <c r="E49" s="70"/>
      <c r="F49" s="70"/>
      <c r="G49" s="70"/>
      <c r="H49" s="61"/>
      <c r="I49" s="61"/>
      <c r="J49" s="61"/>
      <c r="K49" s="61"/>
      <c r="L49" s="61"/>
      <c r="M49" s="61"/>
      <c r="N49" s="61"/>
      <c r="O49" s="61"/>
    </row>
    <row r="50" spans="1:15" ht="25.5" x14ac:dyDescent="0.25">
      <c r="A50" s="75" t="s">
        <v>259</v>
      </c>
      <c r="B50" s="78">
        <f>'3_Fournisseurs'!$M$4</f>
        <v>0</v>
      </c>
      <c r="C50" s="75" t="s">
        <v>60</v>
      </c>
      <c r="D50" s="75" t="s">
        <v>260</v>
      </c>
      <c r="E50" s="70"/>
      <c r="F50" s="70"/>
      <c r="G50" s="70"/>
      <c r="H50" s="61"/>
      <c r="I50" s="61"/>
      <c r="J50" s="61"/>
      <c r="K50" s="61"/>
      <c r="L50" s="61"/>
      <c r="M50" s="61"/>
      <c r="N50" s="61"/>
      <c r="O50" s="61"/>
    </row>
    <row r="51" spans="1:15" x14ac:dyDescent="0.25">
      <c r="A51" s="70"/>
      <c r="B51" s="70"/>
      <c r="C51" s="70"/>
      <c r="D51" s="70"/>
      <c r="E51" s="70"/>
      <c r="F51" s="70"/>
      <c r="G51" s="70"/>
      <c r="H51" s="61"/>
      <c r="I51" s="61"/>
      <c r="J51" s="61"/>
      <c r="K51" s="61"/>
      <c r="L51" s="61"/>
      <c r="M51" s="61"/>
      <c r="N51" s="61"/>
      <c r="O51" s="61"/>
    </row>
    <row r="52" spans="1:15" x14ac:dyDescent="0.25">
      <c r="A52" s="70"/>
      <c r="B52" s="70"/>
      <c r="C52" s="70"/>
      <c r="D52" s="70"/>
      <c r="E52" s="70"/>
      <c r="F52" s="70"/>
      <c r="G52" s="70"/>
      <c r="H52" s="61"/>
      <c r="I52" s="61"/>
      <c r="J52" s="61"/>
      <c r="K52" s="61"/>
      <c r="L52" s="61"/>
      <c r="M52" s="61"/>
      <c r="N52" s="61"/>
      <c r="O52" s="61"/>
    </row>
    <row r="53" spans="1:15" ht="24" customHeight="1" x14ac:dyDescent="0.25">
      <c r="A53" s="182" t="s">
        <v>261</v>
      </c>
      <c r="B53" s="182"/>
      <c r="C53" s="182"/>
      <c r="D53" s="182"/>
      <c r="E53" s="182"/>
      <c r="F53" s="182"/>
      <c r="G53" s="182"/>
      <c r="H53" s="180"/>
      <c r="I53" s="180"/>
      <c r="J53" s="180"/>
      <c r="K53" s="180"/>
      <c r="L53" s="180"/>
      <c r="M53" s="180"/>
      <c r="N53" s="180"/>
      <c r="O53" s="180"/>
    </row>
    <row r="54" spans="1:15" ht="25.5" x14ac:dyDescent="0.25">
      <c r="A54" s="62" t="s">
        <v>262</v>
      </c>
      <c r="B54" s="62" t="s">
        <v>263</v>
      </c>
      <c r="C54" s="62" t="s">
        <v>264</v>
      </c>
      <c r="D54" s="62" t="s">
        <v>265</v>
      </c>
      <c r="E54" s="62" t="s">
        <v>266</v>
      </c>
      <c r="F54" s="62" t="s">
        <v>267</v>
      </c>
      <c r="G54" s="70"/>
      <c r="H54" s="61"/>
      <c r="I54" s="61"/>
      <c r="J54" s="61"/>
      <c r="K54" s="61"/>
      <c r="L54" s="61"/>
      <c r="M54" s="61"/>
      <c r="N54" s="61"/>
      <c r="O54" s="61"/>
    </row>
    <row r="55" spans="1:15" x14ac:dyDescent="0.25">
      <c r="A55" s="71" t="s">
        <v>268</v>
      </c>
      <c r="B55" s="79">
        <f>'5_Dashboard'!$B$14</f>
        <v>0</v>
      </c>
      <c r="C55" s="79">
        <f>IFERROR(INDEX('5_Dashboard'!$C$40:$C$44,MATCH('0_Accueil'!$D$9,'5_Dashboard'!$B$40:$B$44,0)),0)</f>
        <v>0</v>
      </c>
      <c r="D55" s="79">
        <f>MAX(0,B55-C55)</f>
        <v>0</v>
      </c>
      <c r="E55" s="72">
        <f>'0_Accueil'!$D$11*(1+'0_Accueil'!$D$12)</f>
        <v>0</v>
      </c>
      <c r="F55" s="72">
        <f>D55*E55/360</f>
        <v>0</v>
      </c>
      <c r="G55" s="70"/>
      <c r="H55" s="61"/>
      <c r="I55" s="61"/>
      <c r="J55" s="61"/>
      <c r="K55" s="61"/>
      <c r="L55" s="61"/>
      <c r="M55" s="61"/>
      <c r="N55" s="61"/>
      <c r="O55" s="61"/>
    </row>
    <row r="56" spans="1:15" x14ac:dyDescent="0.25">
      <c r="A56" s="71" t="s">
        <v>269</v>
      </c>
      <c r="B56" s="79">
        <f>'5_Dashboard'!$H$14</f>
        <v>0</v>
      </c>
      <c r="C56" s="79">
        <f>IFERROR(INDEX('5_Dashboard'!$E$40:$E$44,MATCH('0_Accueil'!$D$9,'5_Dashboard'!$B$40:$B$44,0)),0)</f>
        <v>0</v>
      </c>
      <c r="D56" s="79">
        <f>MAX(0,B56-C56)</f>
        <v>0</v>
      </c>
      <c r="E56" s="72">
        <f>'4_Stocks'!$E$11</f>
        <v>0</v>
      </c>
      <c r="F56" s="72">
        <f>D56*E56/360</f>
        <v>0</v>
      </c>
      <c r="G56" s="70"/>
      <c r="H56" s="61"/>
      <c r="I56" s="61"/>
      <c r="J56" s="61"/>
      <c r="K56" s="61"/>
      <c r="L56" s="61"/>
      <c r="M56" s="61"/>
      <c r="N56" s="61"/>
      <c r="O56" s="61"/>
    </row>
    <row r="57" spans="1:15" ht="25.5" x14ac:dyDescent="0.25">
      <c r="A57" s="71" t="s">
        <v>270</v>
      </c>
      <c r="B57" s="79">
        <f>'5_Dashboard'!$E$14</f>
        <v>0</v>
      </c>
      <c r="C57" s="79">
        <f>IFERROR(INDEX('5_Dashboard'!$D$40:$D$44,MATCH('0_Accueil'!$D$9,'5_Dashboard'!$B$40:$B$44,0)),0)</f>
        <v>0</v>
      </c>
      <c r="D57" s="79">
        <f>MAX(0,C57-B57)</f>
        <v>0</v>
      </c>
      <c r="E57" s="72">
        <f>'1_Balance_GL'!$C$214*(1+'0_Accueil'!$D$12)</f>
        <v>0</v>
      </c>
      <c r="F57" s="72">
        <f>D57*E57/360</f>
        <v>0</v>
      </c>
      <c r="G57" s="70"/>
      <c r="H57" s="61"/>
      <c r="I57" s="61"/>
      <c r="J57" s="61"/>
      <c r="K57" s="61"/>
      <c r="L57" s="61"/>
      <c r="M57" s="61"/>
      <c r="N57" s="61"/>
      <c r="O57" s="61"/>
    </row>
    <row r="58" spans="1:15" x14ac:dyDescent="0.25">
      <c r="A58" s="80" t="s">
        <v>35</v>
      </c>
      <c r="B58" s="80"/>
      <c r="C58" s="80"/>
      <c r="D58" s="80"/>
      <c r="E58" s="81"/>
      <c r="F58" s="81">
        <f>SUM(F55:F57)</f>
        <v>0</v>
      </c>
      <c r="G58" s="70"/>
      <c r="H58" s="61"/>
      <c r="I58" s="61"/>
      <c r="J58" s="61"/>
      <c r="K58" s="61"/>
      <c r="L58" s="61"/>
      <c r="M58" s="61"/>
      <c r="N58" s="61"/>
      <c r="O58" s="61"/>
    </row>
    <row r="59" spans="1:15" x14ac:dyDescent="0.25">
      <c r="A59" s="70"/>
      <c r="B59" s="70"/>
      <c r="C59" s="70"/>
      <c r="D59" s="70"/>
      <c r="E59" s="70"/>
      <c r="F59" s="70"/>
      <c r="G59" s="70"/>
      <c r="H59" s="61"/>
      <c r="I59" s="61"/>
      <c r="J59" s="61"/>
      <c r="K59" s="61"/>
      <c r="L59" s="61"/>
      <c r="M59" s="61"/>
      <c r="N59" s="61"/>
      <c r="O59" s="61"/>
    </row>
    <row r="60" spans="1:15" x14ac:dyDescent="0.25">
      <c r="A60" s="70"/>
      <c r="B60" s="70"/>
      <c r="C60" s="70"/>
      <c r="D60" s="70"/>
      <c r="E60" s="70"/>
      <c r="F60" s="70"/>
      <c r="G60" s="70"/>
      <c r="H60" s="61"/>
      <c r="I60" s="61"/>
      <c r="J60" s="61"/>
      <c r="K60" s="61"/>
      <c r="L60" s="61"/>
      <c r="M60" s="61"/>
      <c r="N60" s="61"/>
      <c r="O60" s="61"/>
    </row>
    <row r="61" spans="1:15" x14ac:dyDescent="0.25">
      <c r="A61" s="70"/>
      <c r="B61" s="70"/>
      <c r="C61" s="70"/>
      <c r="D61" s="70"/>
      <c r="E61" s="70"/>
      <c r="F61" s="70"/>
      <c r="G61" s="70"/>
      <c r="H61" s="61"/>
      <c r="I61" s="61"/>
      <c r="J61" s="61"/>
      <c r="K61" s="61"/>
      <c r="L61" s="61"/>
      <c r="M61" s="61"/>
      <c r="N61" s="61"/>
      <c r="O61" s="61"/>
    </row>
    <row r="62" spans="1:15" x14ac:dyDescent="0.25">
      <c r="A62" s="70"/>
      <c r="B62" s="70"/>
      <c r="C62" s="70"/>
      <c r="D62" s="70"/>
      <c r="E62" s="70"/>
      <c r="F62" s="70"/>
      <c r="G62" s="70"/>
      <c r="H62" s="61"/>
      <c r="I62" s="61"/>
      <c r="J62" s="61"/>
      <c r="K62" s="61"/>
      <c r="L62" s="61"/>
      <c r="M62" s="61"/>
      <c r="N62" s="61"/>
      <c r="O62" s="61"/>
    </row>
    <row r="63" spans="1:15" x14ac:dyDescent="0.25">
      <c r="A63" s="70"/>
      <c r="B63" s="70"/>
      <c r="C63" s="70"/>
      <c r="D63" s="70"/>
      <c r="E63" s="70"/>
      <c r="F63" s="70"/>
      <c r="G63" s="70"/>
      <c r="H63" s="61"/>
      <c r="I63" s="61"/>
      <c r="J63" s="61"/>
      <c r="K63" s="61"/>
      <c r="L63" s="61"/>
      <c r="M63" s="61"/>
      <c r="N63" s="61"/>
      <c r="O63" s="61"/>
    </row>
    <row r="64" spans="1:15" x14ac:dyDescent="0.25">
      <c r="A64" s="70"/>
      <c r="B64" s="70"/>
      <c r="C64" s="70"/>
      <c r="D64" s="70"/>
      <c r="E64" s="70"/>
      <c r="F64" s="70"/>
      <c r="G64" s="70"/>
      <c r="H64" s="61"/>
      <c r="I64" s="61"/>
      <c r="J64" s="61"/>
      <c r="K64" s="61"/>
      <c r="L64" s="61"/>
      <c r="M64" s="61"/>
      <c r="N64" s="61"/>
      <c r="O64" s="61"/>
    </row>
    <row r="65" spans="1:15" x14ac:dyDescent="0.25">
      <c r="A65" s="70"/>
      <c r="B65" s="70"/>
      <c r="C65" s="70"/>
      <c r="D65" s="70"/>
      <c r="E65" s="70"/>
      <c r="F65" s="70"/>
      <c r="G65" s="70"/>
      <c r="H65" s="61"/>
      <c r="I65" s="61"/>
      <c r="J65" s="61"/>
      <c r="K65" s="61"/>
      <c r="L65" s="61"/>
      <c r="M65" s="61"/>
      <c r="N65" s="61"/>
      <c r="O65" s="61"/>
    </row>
    <row r="66" spans="1:15" x14ac:dyDescent="0.25">
      <c r="A66" s="70"/>
      <c r="B66" s="70"/>
      <c r="C66" s="70"/>
      <c r="D66" s="70"/>
      <c r="E66" s="70"/>
      <c r="F66" s="70"/>
      <c r="G66" s="70"/>
      <c r="H66" s="61"/>
      <c r="I66" s="61"/>
      <c r="J66" s="61"/>
      <c r="K66" s="61"/>
      <c r="L66" s="61"/>
      <c r="M66" s="61"/>
      <c r="N66" s="61"/>
      <c r="O66" s="61"/>
    </row>
    <row r="67" spans="1:15" x14ac:dyDescent="0.25">
      <c r="A67" s="70"/>
      <c r="B67" s="70"/>
      <c r="C67" s="70"/>
      <c r="D67" s="70"/>
      <c r="E67" s="70"/>
      <c r="F67" s="70"/>
      <c r="G67" s="70"/>
      <c r="H67" s="61"/>
      <c r="I67" s="61"/>
      <c r="J67" s="61"/>
      <c r="K67" s="61"/>
      <c r="L67" s="61"/>
      <c r="M67" s="61"/>
      <c r="N67" s="61"/>
      <c r="O67" s="61"/>
    </row>
    <row r="68" spans="1:15" ht="24" customHeight="1" x14ac:dyDescent="0.25">
      <c r="A68" s="181" t="s">
        <v>271</v>
      </c>
      <c r="B68" s="181"/>
      <c r="C68" s="181"/>
      <c r="D68" s="181"/>
      <c r="E68" s="181"/>
      <c r="F68" s="181"/>
      <c r="G68" s="181"/>
      <c r="H68" s="128"/>
      <c r="I68" s="128"/>
      <c r="J68" s="128"/>
      <c r="K68" s="128"/>
      <c r="L68" s="128"/>
      <c r="M68" s="128"/>
      <c r="N68" s="128"/>
      <c r="O68" s="128"/>
    </row>
    <row r="69" spans="1:15" ht="25.5" x14ac:dyDescent="0.25">
      <c r="A69" s="62" t="s">
        <v>272</v>
      </c>
      <c r="B69" s="62" t="s">
        <v>273</v>
      </c>
      <c r="C69" s="62" t="s">
        <v>274</v>
      </c>
      <c r="D69" s="62" t="s">
        <v>70</v>
      </c>
      <c r="E69" s="62" t="s">
        <v>275</v>
      </c>
      <c r="F69" s="62" t="s">
        <v>248</v>
      </c>
      <c r="G69" s="70"/>
      <c r="H69" s="183" t="s">
        <v>276</v>
      </c>
      <c r="I69" s="184"/>
      <c r="J69" s="185"/>
      <c r="K69" s="189" t="str">
        <f>IF(COUNTIF($D$70:$D$74,"OK")=5,"PASS — DONNÉES COHÉRENTES","À CONTRÔLER — ACTION REQUISE")</f>
        <v>À CONTRÔLER — ACTION REQUISE</v>
      </c>
      <c r="L69" s="190"/>
      <c r="M69" s="190"/>
      <c r="N69" s="190"/>
      <c r="O69" s="191"/>
    </row>
    <row r="70" spans="1:15" ht="30" customHeight="1" x14ac:dyDescent="0.25">
      <c r="A70" s="71" t="s">
        <v>277</v>
      </c>
      <c r="B70" s="72">
        <f>'0_Accueil'!$D$11</f>
        <v>0</v>
      </c>
      <c r="C70" s="71" t="s">
        <v>278</v>
      </c>
      <c r="D70" s="71" t="str">
        <f>IF(B70&gt;0,"OK","À COMPLÉTER")</f>
        <v>À COMPLÉTER</v>
      </c>
      <c r="E70" s="71" t="s">
        <v>279</v>
      </c>
      <c r="F70" s="71" t="s">
        <v>280</v>
      </c>
      <c r="G70" s="70"/>
      <c r="H70" s="186"/>
      <c r="I70" s="187"/>
      <c r="J70" s="188"/>
      <c r="K70" s="192"/>
      <c r="L70" s="193"/>
      <c r="M70" s="193"/>
      <c r="N70" s="193"/>
      <c r="O70" s="194"/>
    </row>
    <row r="71" spans="1:15" ht="30" customHeight="1" x14ac:dyDescent="0.25">
      <c r="A71" s="71" t="s">
        <v>281</v>
      </c>
      <c r="B71" s="73">
        <f>'0_Accueil'!$D$12</f>
        <v>0.2</v>
      </c>
      <c r="C71" s="71" t="s">
        <v>282</v>
      </c>
      <c r="D71" s="71" t="str">
        <f>IF(AND(B71&gt;=0,B71&lt;=0.3),"OK","À VÉRIFIER")</f>
        <v>OK</v>
      </c>
      <c r="E71" s="71" t="s">
        <v>283</v>
      </c>
      <c r="F71" s="71" t="s">
        <v>284</v>
      </c>
      <c r="G71" s="70"/>
      <c r="H71" s="61"/>
      <c r="I71" s="61"/>
      <c r="J71" s="61"/>
      <c r="K71" s="61"/>
      <c r="L71" s="61"/>
      <c r="M71" s="61"/>
      <c r="N71" s="61"/>
      <c r="O71" s="61"/>
    </row>
    <row r="72" spans="1:15" ht="30" customHeight="1" x14ac:dyDescent="0.25">
      <c r="A72" s="71" t="s">
        <v>285</v>
      </c>
      <c r="B72" s="79">
        <f>'5_Dashboard'!$C$35</f>
        <v>0</v>
      </c>
      <c r="C72" s="71" t="s">
        <v>286</v>
      </c>
      <c r="D72" s="71" t="str">
        <f>IF(ABS(B72)&lt;=5,"OK",IF(ABS(B72)&lt;=15,"À VÉRIFIER","ALERTE"))</f>
        <v>OK</v>
      </c>
      <c r="E72" s="71" t="s">
        <v>287</v>
      </c>
      <c r="F72" s="71" t="s">
        <v>288</v>
      </c>
      <c r="G72" s="70"/>
      <c r="H72" s="195" t="s">
        <v>289</v>
      </c>
      <c r="I72" s="196"/>
      <c r="J72" s="196"/>
      <c r="K72" s="196"/>
      <c r="L72" s="196"/>
      <c r="M72" s="196"/>
      <c r="N72" s="196"/>
      <c r="O72" s="197"/>
    </row>
    <row r="73" spans="1:15" ht="30" customHeight="1" x14ac:dyDescent="0.25">
      <c r="A73" s="71" t="s">
        <v>290</v>
      </c>
      <c r="B73" s="72">
        <f>'2_Clients'!$M$7-'1_Balance_GL'!$C$211</f>
        <v>0</v>
      </c>
      <c r="C73" s="71" t="s">
        <v>291</v>
      </c>
      <c r="D73" s="71" t="str">
        <f>IF(ABS(B73)&lt;=1,"OK","À RÉCONCILIER")</f>
        <v>OK</v>
      </c>
      <c r="E73" s="71" t="s">
        <v>292</v>
      </c>
      <c r="F73" s="71" t="s">
        <v>293</v>
      </c>
      <c r="G73" s="70"/>
      <c r="H73" s="198"/>
      <c r="I73" s="199"/>
      <c r="J73" s="199"/>
      <c r="K73" s="199"/>
      <c r="L73" s="199"/>
      <c r="M73" s="199"/>
      <c r="N73" s="199"/>
      <c r="O73" s="200"/>
    </row>
    <row r="74" spans="1:15" ht="30" customHeight="1" x14ac:dyDescent="0.25">
      <c r="A74" s="71" t="s">
        <v>294</v>
      </c>
      <c r="B74" s="72">
        <f>'3_Fournisseurs'!$M$5-'1_Balance_GL'!$C$212</f>
        <v>0</v>
      </c>
      <c r="C74" s="71" t="s">
        <v>291</v>
      </c>
      <c r="D74" s="71" t="str">
        <f>IF(ABS(B74)&lt;=1,"OK","À RÉCONCILIER")</f>
        <v>OK</v>
      </c>
      <c r="E74" s="71" t="s">
        <v>295</v>
      </c>
      <c r="F74" s="71" t="s">
        <v>293</v>
      </c>
      <c r="G74" s="70"/>
      <c r="H74" s="201"/>
      <c r="I74" s="202"/>
      <c r="J74" s="202"/>
      <c r="K74" s="202"/>
      <c r="L74" s="202"/>
      <c r="M74" s="202"/>
      <c r="N74" s="202"/>
      <c r="O74" s="203"/>
    </row>
    <row r="75" spans="1:15" x14ac:dyDescent="0.25">
      <c r="A75" s="61"/>
      <c r="B75" s="61"/>
      <c r="C75" s="61"/>
      <c r="D75" s="61"/>
      <c r="E75" s="61"/>
      <c r="F75" s="61"/>
      <c r="G75" s="61"/>
      <c r="H75" s="61"/>
      <c r="I75" s="61"/>
      <c r="J75" s="61"/>
      <c r="K75" s="61"/>
      <c r="L75" s="61"/>
      <c r="M75" s="61"/>
      <c r="N75" s="61"/>
      <c r="O75" s="61"/>
    </row>
    <row r="76" spans="1:15" x14ac:dyDescent="0.25">
      <c r="A76" s="61"/>
      <c r="B76" s="61"/>
      <c r="C76" s="61"/>
      <c r="D76" s="61"/>
      <c r="E76" s="61"/>
      <c r="F76" s="61"/>
      <c r="G76" s="61"/>
      <c r="H76" s="61"/>
      <c r="I76" s="61"/>
      <c r="J76" s="61"/>
      <c r="K76" s="61"/>
      <c r="L76" s="61"/>
      <c r="M76" s="61"/>
      <c r="N76" s="61"/>
      <c r="O76" s="61"/>
    </row>
    <row r="77" spans="1:15" ht="24" customHeight="1" x14ac:dyDescent="0.25">
      <c r="A77" s="180" t="s">
        <v>296</v>
      </c>
      <c r="B77" s="180"/>
      <c r="C77" s="180"/>
      <c r="D77" s="180"/>
      <c r="E77" s="180"/>
      <c r="F77" s="180"/>
      <c r="G77" s="180"/>
      <c r="H77" s="180"/>
      <c r="I77" s="180"/>
      <c r="J77" s="180"/>
      <c r="K77" s="180"/>
      <c r="L77" s="180"/>
      <c r="M77" s="180"/>
      <c r="N77" s="180"/>
      <c r="O77" s="180"/>
    </row>
    <row r="78" spans="1:15" x14ac:dyDescent="0.25">
      <c r="A78" s="204" t="s">
        <v>297</v>
      </c>
      <c r="B78" s="205"/>
      <c r="C78" s="205"/>
      <c r="D78" s="205"/>
      <c r="E78" s="205"/>
      <c r="F78" s="205"/>
      <c r="G78" s="205"/>
      <c r="H78" s="205"/>
      <c r="I78" s="205"/>
      <c r="J78" s="205"/>
      <c r="K78" s="205"/>
      <c r="L78" s="205"/>
      <c r="M78" s="205"/>
      <c r="N78" s="205"/>
      <c r="O78" s="206"/>
    </row>
    <row r="79" spans="1:15" x14ac:dyDescent="0.25">
      <c r="A79" s="207"/>
      <c r="B79" s="208"/>
      <c r="C79" s="208"/>
      <c r="D79" s="208"/>
      <c r="E79" s="208"/>
      <c r="F79" s="208"/>
      <c r="G79" s="208"/>
      <c r="H79" s="208"/>
      <c r="I79" s="208"/>
      <c r="J79" s="208"/>
      <c r="K79" s="208"/>
      <c r="L79" s="208"/>
      <c r="M79" s="208"/>
      <c r="N79" s="208"/>
      <c r="O79" s="209"/>
    </row>
    <row r="80" spans="1:15" x14ac:dyDescent="0.25">
      <c r="A80" s="204" t="s">
        <v>298</v>
      </c>
      <c r="B80" s="205"/>
      <c r="C80" s="205"/>
      <c r="D80" s="205"/>
      <c r="E80" s="205"/>
      <c r="F80" s="205"/>
      <c r="G80" s="205"/>
      <c r="H80" s="205"/>
      <c r="I80" s="205"/>
      <c r="J80" s="205"/>
      <c r="K80" s="205"/>
      <c r="L80" s="205"/>
      <c r="M80" s="205"/>
      <c r="N80" s="205"/>
      <c r="O80" s="206"/>
    </row>
    <row r="81" spans="1:15" x14ac:dyDescent="0.25">
      <c r="A81" s="207"/>
      <c r="B81" s="208"/>
      <c r="C81" s="208"/>
      <c r="D81" s="208"/>
      <c r="E81" s="208"/>
      <c r="F81" s="208"/>
      <c r="G81" s="208"/>
      <c r="H81" s="208"/>
      <c r="I81" s="208"/>
      <c r="J81" s="208"/>
      <c r="K81" s="208"/>
      <c r="L81" s="208"/>
      <c r="M81" s="208"/>
      <c r="N81" s="208"/>
      <c r="O81" s="209"/>
    </row>
    <row r="82" spans="1:15" x14ac:dyDescent="0.25">
      <c r="A82" s="204" t="s">
        <v>299</v>
      </c>
      <c r="B82" s="205"/>
      <c r="C82" s="205"/>
      <c r="D82" s="205"/>
      <c r="E82" s="205"/>
      <c r="F82" s="205"/>
      <c r="G82" s="205"/>
      <c r="H82" s="205"/>
      <c r="I82" s="205"/>
      <c r="J82" s="205"/>
      <c r="K82" s="205"/>
      <c r="L82" s="205"/>
      <c r="M82" s="205"/>
      <c r="N82" s="205"/>
      <c r="O82" s="206"/>
    </row>
    <row r="83" spans="1:15" x14ac:dyDescent="0.25">
      <c r="A83" s="207"/>
      <c r="B83" s="208"/>
      <c r="C83" s="208"/>
      <c r="D83" s="208"/>
      <c r="E83" s="208"/>
      <c r="F83" s="208"/>
      <c r="G83" s="208"/>
      <c r="H83" s="208"/>
      <c r="I83" s="208"/>
      <c r="J83" s="208"/>
      <c r="K83" s="208"/>
      <c r="L83" s="208"/>
      <c r="M83" s="208"/>
      <c r="N83" s="208"/>
      <c r="O83" s="209"/>
    </row>
  </sheetData>
  <mergeCells count="57">
    <mergeCell ref="H72:O74"/>
    <mergeCell ref="A77:O77"/>
    <mergeCell ref="A78:O79"/>
    <mergeCell ref="A80:O81"/>
    <mergeCell ref="A82:O83"/>
    <mergeCell ref="A19:O19"/>
    <mergeCell ref="A36:O36"/>
    <mergeCell ref="A53:O53"/>
    <mergeCell ref="A68:O68"/>
    <mergeCell ref="H69:J70"/>
    <mergeCell ref="K69:O70"/>
    <mergeCell ref="M11:O11"/>
    <mergeCell ref="M12:O13"/>
    <mergeCell ref="M14:O14"/>
    <mergeCell ref="A16:C16"/>
    <mergeCell ref="A17:C17"/>
    <mergeCell ref="D16:F16"/>
    <mergeCell ref="D17:F17"/>
    <mergeCell ref="G16:I16"/>
    <mergeCell ref="G17:I17"/>
    <mergeCell ref="J16:L16"/>
    <mergeCell ref="J17:L17"/>
    <mergeCell ref="M16:O16"/>
    <mergeCell ref="M17:O17"/>
    <mergeCell ref="G11:I11"/>
    <mergeCell ref="G12:I13"/>
    <mergeCell ref="G14:I14"/>
    <mergeCell ref="J11:L11"/>
    <mergeCell ref="J12:L13"/>
    <mergeCell ref="J14:L14"/>
    <mergeCell ref="A11:C11"/>
    <mergeCell ref="A12:C13"/>
    <mergeCell ref="A14:C14"/>
    <mergeCell ref="D11:F11"/>
    <mergeCell ref="D12:F13"/>
    <mergeCell ref="D14:F14"/>
    <mergeCell ref="A5:O5"/>
    <mergeCell ref="A6:C6"/>
    <mergeCell ref="A7:C8"/>
    <mergeCell ref="A9:C9"/>
    <mergeCell ref="D6:F6"/>
    <mergeCell ref="D7:F8"/>
    <mergeCell ref="D9:F9"/>
    <mergeCell ref="G6:I6"/>
    <mergeCell ref="G7:I8"/>
    <mergeCell ref="G9:I9"/>
    <mergeCell ref="J6:L6"/>
    <mergeCell ref="J7:L8"/>
    <mergeCell ref="J9:L9"/>
    <mergeCell ref="M6:O6"/>
    <mergeCell ref="M7:O8"/>
    <mergeCell ref="M9:O9"/>
    <mergeCell ref="A1:O2"/>
    <mergeCell ref="A3:F3"/>
    <mergeCell ref="G3:J3"/>
    <mergeCell ref="K3:O3"/>
    <mergeCell ref="A4:O4"/>
  </mergeCells>
  <conditionalFormatting sqref="A7">
    <cfRule type="cellIs" dxfId="5" priority="1" operator="lessThan">
      <formula>0</formula>
    </cfRule>
  </conditionalFormatting>
  <conditionalFormatting sqref="D70:D74">
    <cfRule type="containsText" dxfId="4" priority="4" operator="containsText" text="OK"/>
    <cfRule type="containsText" dxfId="3" priority="5" operator="containsText" text="ALERTE"/>
    <cfRule type="containsText" dxfId="2" priority="6" operator="containsText" text="À"/>
  </conditionalFormatting>
  <conditionalFormatting sqref="G7">
    <cfRule type="cellIs" dxfId="1" priority="2" operator="lessThan">
      <formula>1</formula>
    </cfRule>
    <cfRule type="cellIs" dxfId="0" priority="3" operator="greaterThanOrEqual">
      <formula>1</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0_Accueil</vt:lpstr>
      <vt:lpstr>1_Balance_GL</vt:lpstr>
      <vt:lpstr>2_Clients</vt:lpstr>
      <vt:lpstr>3_Fournisseurs</vt:lpstr>
      <vt:lpstr>4_Stocks</vt:lpstr>
      <vt:lpstr>5_Dashboard</vt:lpstr>
      <vt:lpstr>Lecture</vt:lpstr>
      <vt:lpstr>Cash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Yassine El Gamouz</cp:lastModifiedBy>
  <dcterms:modified xsi:type="dcterms:W3CDTF">2026-08-28T07:09:08Z</dcterms:modified>
</cp:coreProperties>
</file>